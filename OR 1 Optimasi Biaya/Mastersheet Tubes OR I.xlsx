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Container" sheetId="1" r:id="rId4"/>
    <sheet state="visible" name="Sheet14" sheetId="2" r:id="rId5"/>
    <sheet state="visible" name="Sulawesi" sheetId="3" r:id="rId6"/>
    <sheet state="visible" name="Kalimantan" sheetId="4" r:id="rId7"/>
    <sheet state="visible" name="BaliNusra" sheetId="5" r:id="rId8"/>
    <sheet state="visible" name="Rate T&amp;W" sheetId="6" r:id="rId9"/>
    <sheet state="visible" name="Total Biaya First Mile" sheetId="7" r:id="rId10"/>
    <sheet state="visible" name="Biaya Variable KendaraanTrip ti" sheetId="8" r:id="rId11"/>
    <sheet state="visible" name="Biaya Penambahan Vehicle" sheetId="9" r:id="rId12"/>
    <sheet state="visible" name="Penjelasan Gurobi dan Model" sheetId="10" r:id="rId13"/>
    <sheet state="visible" name="Jumlah Trip Maksimal" sheetId="11" r:id="rId14"/>
    <sheet state="visible" name="(SRP Usulan) Jarak Tempuh Middl" sheetId="12" r:id="rId15"/>
    <sheet state="visible" name="(agoy fadli) Total Permintaan M" sheetId="13" r:id="rId16"/>
    <sheet state="visible" name="Sheet20" sheetId="14" r:id="rId17"/>
    <sheet state="visible" name="Copy of (agoy fadli) Total Perm" sheetId="15" r:id="rId18"/>
    <sheet state="visible" name="Total Biaya Middle Mile" sheetId="16" r:id="rId19"/>
    <sheet state="visible" name="Biaya Driver" sheetId="17" r:id="rId20"/>
    <sheet state="visible" name="Kapasitas Inventori(ini rada su" sheetId="18" r:id="rId21"/>
    <sheet state="visible" name="Biaya Staff" sheetId="19" r:id="rId22"/>
  </sheets>
  <definedNames/>
  <calcPr/>
</workbook>
</file>

<file path=xl/sharedStrings.xml><?xml version="1.0" encoding="utf-8"?>
<sst xmlns="http://schemas.openxmlformats.org/spreadsheetml/2006/main" count="4343" uniqueCount="407">
  <si>
    <t>Type</t>
  </si>
  <si>
    <t>Volume</t>
  </si>
  <si>
    <t>m^3</t>
  </si>
  <si>
    <t>Container (m)</t>
  </si>
  <si>
    <t>Gudang (m)</t>
  </si>
  <si>
    <t>40FT</t>
  </si>
  <si>
    <t>Build Up</t>
  </si>
  <si>
    <t>20FT</t>
  </si>
  <si>
    <t>FUSO</t>
  </si>
  <si>
    <t>CDD</t>
  </si>
  <si>
    <t>Sulawesi</t>
  </si>
  <si>
    <t>Denpasar</t>
  </si>
  <si>
    <t>DC031</t>
  </si>
  <si>
    <t>Direct CPU</t>
  </si>
  <si>
    <t>Wilayah</t>
  </si>
  <si>
    <t>Rerata Jarak</t>
  </si>
  <si>
    <t>Rerata Permintaan (boks/bulan)</t>
  </si>
  <si>
    <t>Kendari</t>
  </si>
  <si>
    <t>DC032</t>
  </si>
  <si>
    <t>Amurang</t>
  </si>
  <si>
    <t>Lombok</t>
  </si>
  <si>
    <t>DC033</t>
  </si>
  <si>
    <t>Barru</t>
  </si>
  <si>
    <t>Makassar</t>
  </si>
  <si>
    <t>DC034</t>
  </si>
  <si>
    <t>Bau-Bau</t>
  </si>
  <si>
    <t>Manado</t>
  </si>
  <si>
    <t>DC035</t>
  </si>
  <si>
    <t>Belopa</t>
  </si>
  <si>
    <t>Palu</t>
  </si>
  <si>
    <t>DC036</t>
  </si>
  <si>
    <t>Bitung</t>
  </si>
  <si>
    <t>Bone</t>
  </si>
  <si>
    <t>Bulukumba</t>
  </si>
  <si>
    <t>Gorontalo</t>
  </si>
  <si>
    <t>Gowa</t>
  </si>
  <si>
    <t>Jeneponto</t>
  </si>
  <si>
    <t>Kolaka</t>
  </si>
  <si>
    <t>Kotamobagu</t>
  </si>
  <si>
    <t>Luwuk</t>
  </si>
  <si>
    <t>Mamuju</t>
  </si>
  <si>
    <t>Mangkutana</t>
  </si>
  <si>
    <t>Marisa</t>
  </si>
  <si>
    <t>Palopo</t>
  </si>
  <si>
    <t>Pangkep</t>
  </si>
  <si>
    <t>Pare-Pare</t>
  </si>
  <si>
    <t>Parigi</t>
  </si>
  <si>
    <t>Polman</t>
  </si>
  <si>
    <t>Poso</t>
  </si>
  <si>
    <t>Sengkang</t>
  </si>
  <si>
    <t>Sinjai</t>
  </si>
  <si>
    <t>Takalar</t>
  </si>
  <si>
    <t>Tomohon</t>
  </si>
  <si>
    <t>Toraja</t>
  </si>
  <si>
    <t>Unaaha</t>
  </si>
  <si>
    <t>Grand Total</t>
  </si>
  <si>
    <t>East Kalimantan(Customer POV)</t>
  </si>
  <si>
    <t>Ampah-Teweh</t>
  </si>
  <si>
    <t>Balikpapan</t>
  </si>
  <si>
    <t>Banjarmasin</t>
  </si>
  <si>
    <t>Barabai</t>
  </si>
  <si>
    <t>Batulicin</t>
  </si>
  <si>
    <t>Berau</t>
  </si>
  <si>
    <t>Bontang</t>
  </si>
  <si>
    <t>Bontang-Sangata</t>
  </si>
  <si>
    <t>DC037</t>
  </si>
  <si>
    <t>Direct DC</t>
  </si>
  <si>
    <t>Ketapang</t>
  </si>
  <si>
    <t>DC038</t>
  </si>
  <si>
    <t>Palangkaraya</t>
  </si>
  <si>
    <t>DC039</t>
  </si>
  <si>
    <t>Pangkalanbun</t>
  </si>
  <si>
    <t>DC040</t>
  </si>
  <si>
    <t>Penajam-Grogot</t>
  </si>
  <si>
    <t>DC041</t>
  </si>
  <si>
    <t>Rantau</t>
  </si>
  <si>
    <t>Pontianak</t>
  </si>
  <si>
    <t>DC042</t>
  </si>
  <si>
    <t>Samarinda</t>
  </si>
  <si>
    <t>DC043</t>
  </si>
  <si>
    <t>Sampit</t>
  </si>
  <si>
    <t>DC044</t>
  </si>
  <si>
    <t>Sintang</t>
  </si>
  <si>
    <t>Tarakan</t>
  </si>
  <si>
    <t>DC045</t>
  </si>
  <si>
    <t>West Kalimantan(Customer POV)</t>
  </si>
  <si>
    <t>Singkawang</t>
  </si>
  <si>
    <t>BaliNusra</t>
  </si>
  <si>
    <t>BIMA</t>
  </si>
  <si>
    <t>Kupang</t>
  </si>
  <si>
    <t>Maumere</t>
  </si>
  <si>
    <t>Sumbawa</t>
  </si>
  <si>
    <t>Distributor Area</t>
  </si>
  <si>
    <t>ID</t>
  </si>
  <si>
    <t>Area</t>
  </si>
  <si>
    <t>Container</t>
  </si>
  <si>
    <t>Rate</t>
  </si>
  <si>
    <t>Bali Nusra</t>
  </si>
  <si>
    <t>Kalimantan</t>
  </si>
  <si>
    <t>Biaya BBM/Trip</t>
  </si>
  <si>
    <t>Rate(Biaya/Kapasitas Volume)/1 Perjalanan</t>
  </si>
  <si>
    <t>Biaya BBM</t>
  </si>
  <si>
    <t>Harga BBM</t>
  </si>
  <si>
    <t>Petrol Consumption (Rasio BBM)</t>
  </si>
  <si>
    <t>Harga Bahan Bakar/KM</t>
  </si>
  <si>
    <t>Kepulauan</t>
  </si>
  <si>
    <t>Daerah Asal</t>
  </si>
  <si>
    <t>Tujuan</t>
  </si>
  <si>
    <t>Jarak</t>
  </si>
  <si>
    <t>CDE</t>
  </si>
  <si>
    <t>GrandMax</t>
  </si>
  <si>
    <t>Kijang</t>
  </si>
  <si>
    <t>Harga Solar</t>
  </si>
  <si>
    <t>Harga Pertalite</t>
  </si>
  <si>
    <t>Cek BBM TERENDAH</t>
  </si>
  <si>
    <t>Cek RATE Terendah</t>
  </si>
  <si>
    <t>Motorbike</t>
  </si>
  <si>
    <t>https://drive.google.com/file/d/16zUUoSwMh_7Tqi-kTA__gdN4c5aFTCR9/view?usp=drive_link</t>
  </si>
  <si>
    <t>Ampah</t>
  </si>
  <si>
    <t>Bau Bau</t>
  </si>
  <si>
    <t>Marissa</t>
  </si>
  <si>
    <t>CDD Cost</t>
  </si>
  <si>
    <t>CDE Cost</t>
  </si>
  <si>
    <t>GrandMax Cost</t>
  </si>
  <si>
    <t>Kijang Cost</t>
  </si>
  <si>
    <t>motor tidak digunakan karena rate-nya terlalu besar untuk penyewaan saja 1.2 juta, tetapi box yang dikirim tidak sampai 20 box</t>
  </si>
  <si>
    <r>
      <rPr>
        <color rgb="FF1155CC"/>
        <u/>
      </rPr>
      <t>Sewa Motor Bulanan Harian di Bali Kuta Mulai 80 Ribu Per Hari</t>
    </r>
  </si>
  <si>
    <t>Indirect DC</t>
  </si>
  <si>
    <t>Depo</t>
  </si>
  <si>
    <t>Tujuan Model:</t>
  </si>
  <si>
    <t>Bagian 2: Variabel Keputusan</t>
  </si>
  <si>
    <t>Bagian 3: Fungsi Tujuan (Objective Function)</t>
  </si>
  <si>
    <t>Bagian 4: Pembatasan (Constraints)</t>
  </si>
  <si>
    <t>Bagian 5: Penyelesaian (Optimization) dan Output</t>
  </si>
  <si>
    <t>Model ini bertujuan untuk mengoptimalkan pengiriman barang dengan meminimalkan total biaya yang terdiri dari dua komponen utama:</t>
  </si>
  <si>
    <t>Pada bagian ini, kita mendefinisikan variabel keputusan yang akan digunakan dalam model optimasi.</t>
  </si>
  <si>
    <t>Fungsi tujuan dalam model ini adalah untuk meminimalkan biaya yang terdiri dari dua komponen:</t>
  </si>
  <si>
    <t>a. Demand Harus Terpenuhi:</t>
  </si>
  <si>
    <t>Setelah semua variabel dan pembatasan ditentukan, model diselesaikan dengan m.optimize() dan hasilnya ditampilkan.</t>
  </si>
  <si>
    <t>Biaya BBM: Tergantung pada konsumsi bahan bakar kendaraan dan jarak tempuh.</t>
  </si>
  <si>
    <t>x = {} # binary: trip kendaraan k ke tujuan j pada trip ke-t</t>
  </si>
  <si>
    <t>Biaya BBM yang dihitung berdasarkan jarak, konsumsi bahan bakar, dan harga bahan bakar kendaraan.</t>
  </si>
  <si>
    <t>Model harus memastikan bahwa jumlah barang yang dikirim ke setiap tujuan selama seluruh trip harus lebih besar atau sama dengan demand tujuan tersebut.</t>
  </si>
  <si>
    <t>m.optimize()</t>
  </si>
  <si>
    <t>Biaya penambahan kendaraan: Tergantung pada berapa banyak kendaraan yang digunakan.</t>
  </si>
  <si>
    <t>Biaya penambahan kendaraan, yaitu biaya tetap yang perlu dikeluarkan jika menambah kendaraan baru.</t>
  </si>
  <si>
    <t>y = {} # integer: barang dikirim kendaraan k ke tujuan j pada trip t</t>
  </si>
  <si>
    <t>for j_row in tujuan.itertuples():</t>
  </si>
  <si>
    <t>if m.status == GRB.OPTIMAL:</t>
  </si>
  <si>
    <t>Bagian 1: Input Data</t>
  </si>
  <si>
    <t>obj = gp.LinExpr()</t>
  </si>
  <si>
    <t>z = {} # binary: apakah kendaraan k dipakai</t>
  </si>
  <si>
    <t>m.addConstr(</t>
  </si>
  <si>
    <t>print("\nStatus:", m.Status)</t>
  </si>
  <si>
    <t>Di bagian awal, kita mendefinisikan data tujuan dan data kendaraan, serta harga bahan bakar.</t>
  </si>
  <si>
    <t># Menambahkan biaya BBM</t>
  </si>
  <si>
    <t>v = {} # jumlah kendaraan yang digunakan per jenis kendaraan</t>
  </si>
  <si>
    <t>gp.quicksum(y[(k.Type, j_row.ID_Tujuan, t)] for k in kendaraan.itertuples() for t in range(MAX_TRIPS)) &gt;= j_row.Demand,</t>
  </si>
  <si>
    <t>print("\n--- Hasil Pengiriman ---")</t>
  </si>
  <si>
    <t>a. Data Tujuan:</t>
  </si>
  <si>
    <t>for k_row in kendaraan.itertuples():</t>
  </si>
  <si>
    <t>xk,j,tx_{k,j,t}: Variabel biner yang menunjukkan apakah kendaraan k mengirim barang ke tujuan j pada trip t.</t>
  </si>
  <si>
    <t>name=f"demand_{j_row.ID_Tujuan}"</t>
  </si>
  <si>
    <t>total_biaya = m.ObjVal</t>
  </si>
  <si>
    <t>Data ini berisi informasi mengenai tujuan pengiriman:</t>
  </si>
  <si>
    <t>yk,j,ty_{k,j,t}: Variabel integer yang menunjukkan jumlah barang yang dikirim oleh kendaraan k ke tujuan j pada trip t.</t>
  </si>
  <si>
    <t>zk,iz_{k,i}: Variabel biner yang menunjukkan apakah kendaraan k dipakai pada trip ke i.</t>
  </si>
  <si>
    <t>)</t>
  </si>
  <si>
    <t>total_kendaraan = 0 # Variabel untuk menghitung total kendaraan yang digunakan</t>
  </si>
  <si>
    <t>ID_Tujuan: Kode untuk masing-masing tujuan (misalnya DC009, DC010, dll.).</t>
  </si>
  <si>
    <t>for t in range(MAX_TRIPS):</t>
  </si>
  <si>
    <t>Kota: Nama kota atau area yang menjadi tujuan.</t>
  </si>
  <si>
    <t>b. Kapasitas Kendaraan:</t>
  </si>
  <si>
    <t>for k, j, t in x:</t>
  </si>
  <si>
    <t>Jarak: Jarak dari titik asal ke tujuan (dalam kilometer).</t>
  </si>
  <si>
    <t>jarak = j_row.Jarak</t>
  </si>
  <si>
    <t>Demand: Jumlah barang yang harus dikirim ke tujuan tersebut.</t>
  </si>
  <si>
    <t>Jumlah barang yang dikirim oleh kendaraan k ke tujuan j pada trip t tidak boleh lebih dari kapasitas kendaraan.</t>
  </si>
  <si>
    <t>if x[(k, j, t)].X &gt; 0.5:</t>
  </si>
  <si>
    <t>konsumsi = k_row.Cons</t>
  </si>
  <si>
    <t>tujuan_data = {</t>
  </si>
  <si>
    <t>print(f"Kendaraan {k} mengirim {int(y[(k, j, t)].X)} unit ke {j} pada trip ke-{t+1}")</t>
  </si>
  <si>
    <t>bbm = harga_bbm[k_row.BBM]</t>
  </si>
  <si>
    <t>ID_Tujuan': ['DC009','DC010','DC011','DC018','DC027','DC048','DC054','DC055'],</t>
  </si>
  <si>
    <t>for j in tujuan['ID_Tujuan']:</t>
  </si>
  <si>
    <t>kendaraan_digunakan = {}</t>
  </si>
  <si>
    <t>biaya_per_trip = 2*(jarak / konsumsi) * bbm # 2x untuk pulang-pergi</t>
  </si>
  <si>
    <t>Kota': ['Bulukumba','Gowa','Jeneponto','Pangkep','Takalar','Bone','Palopo','Pare-Pare'],</t>
  </si>
  <si>
    <t>obj += biaya_per_trip * x[(k_row.Type, j_row.ID_Tujuan, t)]</t>
  </si>
  <si>
    <t>Jarak': [200, 16.37, 97.42, 55.23, 41.33, 194.85, 375.38, 162.64],</t>
  </si>
  <si>
    <t>for i in range(1, 20): # Asumsi hingga 5 kendaraan per jenis</t>
  </si>
  <si>
    <t># Menambahkan biaya kendaraan</t>
  </si>
  <si>
    <t>Demand': [2549, 11369, 2561, 1826, 1978, 2871, 3259, 5309]</t>
  </si>
  <si>
    <t>y[(k_row.Type, j, t)] &lt;= kendaraan.loc[k_row.Index, 'Volume'] * x[(k_row.Type, j, t)],</t>
  </si>
  <si>
    <t>if z[(k_row.Type, i)].X &gt; 0.5: # Jika kendaraan ke-i dipakai</t>
  </si>
  <si>
    <t>}</t>
  </si>
  <si>
    <t>name=f"kapasitas_{k_row.Type}_{j}_trip{t}"</t>
  </si>
  <si>
    <t>total_kendaraan += 1</t>
  </si>
  <si>
    <t>for i in range(1, 20): # Anggap maksimal 5 kendaraan per jenis</t>
  </si>
  <si>
    <t>tujuan = pd.DataFrame(tujuan_data)</t>
  </si>
  <si>
    <t>if k_row.Type not in kendaraan_digunakan:</t>
  </si>
  <si>
    <t>obj += biaya_kendaraan[k_row.Type] * z[(k_row.Type, i)] # Biaya tetap penambahan kendaraan</t>
  </si>
  <si>
    <t>b. Data Kendaraan:</t>
  </si>
  <si>
    <t>c. Batasan Kapasitas Gudang per Trip:</t>
  </si>
  <si>
    <t>kendaraan_digunakan[k_row.Type] = 1</t>
  </si>
  <si>
    <t>m.setObjective(obj, GRB.MINIMIZE)</t>
  </si>
  <si>
    <t>Data ini berisi informasi mengenai kendaraan yang tersedia untuk pengiriman:</t>
  </si>
  <si>
    <t>Jumlah barang yang dikirim dalam satu trip tidak boleh melebihi kapasitas gudang.</t>
  </si>
  <si>
    <t>else:</t>
  </si>
  <si>
    <t>Biaya BBM dihitung berdasarkan formula:</t>
  </si>
  <si>
    <t>Type: Jenis kendaraan (misalnya CDD, CDE, dll.).</t>
  </si>
  <si>
    <t>kendaraan_digunakan[k_row.Type] += 1</t>
  </si>
  <si>
    <t>Volume: Kapasitas kendaraan dalam jumlah barang yang dapat diangkut (per trip).</t>
  </si>
  <si>
    <t>Biaya per trip=2×(JarakKonsumsi)×Harga BBM\text{Biaya per trip} = 2 \times \left( \frac{\text{Jarak}}{\text{Konsumsi}} \right) \times \text{Harga BBM}</t>
  </si>
  <si>
    <t>BBM: Jenis bahan bakar yang digunakan oleh kendaraan (misalnya biosolar atau pertalite).</t>
  </si>
  <si>
    <t>print("\nTotal Kendaraan yang Digunakan:", total_kendaraan)</t>
  </si>
  <si>
    <t>Cons: Konsumsi bahan bakar kendaraan per kilometer (liter/km).</t>
  </si>
  <si>
    <t>Ini untuk mengakomodasi perjalanan pulang-pergi.</t>
  </si>
  <si>
    <t>gp.quicksum(y[(k.Type, j, t)] for k in kendaraan.itertuples() for j in tujuan['ID_Tujuan']) &lt;= 2920,</t>
  </si>
  <si>
    <t>for k_type, count in kendaraan_digunakan.items():</t>
  </si>
  <si>
    <t>kendaraan_data = {</t>
  </si>
  <si>
    <t>Biaya kendaraan ditambahkan setiap kali kendaraan baru digunakan.</t>
  </si>
  <si>
    <t>name=f"gudang_trip{t}"</t>
  </si>
  <si>
    <t>print(f"{k_type}: {count} kendaraan")</t>
  </si>
  <si>
    <t>Type': ['CDD', 'CDE', 'GrandMax'],</t>
  </si>
  <si>
    <t>print("\nTotal Biaya BBM: Rp{:,.0f}".format(total_biaya))</t>
  </si>
  <si>
    <t>Volume': [280, 200, 120],</t>
  </si>
  <si>
    <t>d. x Aktif Hanya Jika Kendaraan Dipakai:</t>
  </si>
  <si>
    <t>Output:</t>
  </si>
  <si>
    <t>BBM': ['biosolar', 'biosolar', 'pertalite'],</t>
  </si>
  <si>
    <t>Variabel xk,j,tx_{k,j,t} hanya aktif jika kendaraan k dipakai.</t>
  </si>
  <si>
    <t>Menampilkan  kendaraan yang digunakan pada trip tertentu.</t>
  </si>
  <si>
    <t>Cons': [4, 7, 8]</t>
  </si>
  <si>
    <t>Total biaya BBM yang dibutuhkan untuk pengiriman.</t>
  </si>
  <si>
    <t>for k in kendaraan['Type']:</t>
  </si>
  <si>
    <t>Jumlah kendaraan yang digunakan dan jenis kendaraan yang digunakan.</t>
  </si>
  <si>
    <t>kendaraan = pd.DataFrame(kendaraan_data)</t>
  </si>
  <si>
    <t>c. Harga BBM:</t>
  </si>
  <si>
    <t>Data ini berisi harga per liter bahan bakar untuk setiap jenis bahan bakar (biosolar dan pertalite).</t>
  </si>
  <si>
    <t>x[(k, j, t)] &lt;= gp.quicksum(z[(k, i)] for i in range(1, 20)),</t>
  </si>
  <si>
    <t>harga_bbm = {</t>
  </si>
  <si>
    <t>name=f"use_vehicle_{k}_{j}_trip{t}"</t>
  </si>
  <si>
    <t>biosolar': 6800,</t>
  </si>
  <si>
    <t>pertalite': 10000</t>
  </si>
  <si>
    <t>e. Pembatas Jumlah Trip per Kendaraan:</t>
  </si>
  <si>
    <t>Setiap kendaraan k hanya boleh melakukan maksimal 26 trip.</t>
  </si>
  <si>
    <t>for i in range(1, 20):</t>
  </si>
  <si>
    <t>gp.quicksum(x[(k, j, t)] for j in tujuan['ID_Tujuan']) &lt;= 26 * z[(k, i)],</t>
  </si>
  <si>
    <t>name=f"max_trips_per_vehicle_{k}_vehicle{i}_trip{t}"</t>
  </si>
  <si>
    <t>Waktu TRIP(jarak terjauh dibagi 45 km/hour)</t>
  </si>
  <si>
    <t>MaxTrip</t>
  </si>
  <si>
    <t>Waktu Tersedia</t>
  </si>
  <si>
    <t>Total waktu&lt;waktu tersedia</t>
  </si>
  <si>
    <t>DC ID</t>
  </si>
  <si>
    <t>Capacity Kendaraan</t>
  </si>
  <si>
    <t>Waktu Trip Terjauh</t>
  </si>
  <si>
    <t>Maximum Trip</t>
  </si>
  <si>
    <t>Jumlah Paket Trip</t>
  </si>
  <si>
    <t>-</t>
  </si>
  <si>
    <t>DC046</t>
  </si>
  <si>
    <t>DC047</t>
  </si>
  <si>
    <t>DC048</t>
  </si>
  <si>
    <t>DC049</t>
  </si>
  <si>
    <t>DC050</t>
  </si>
  <si>
    <t>DC051</t>
  </si>
  <si>
    <t>DC052</t>
  </si>
  <si>
    <t>DC053</t>
  </si>
  <si>
    <t>DC054</t>
  </si>
  <si>
    <t>DC055</t>
  </si>
  <si>
    <t>DC056</t>
  </si>
  <si>
    <t>DC057</t>
  </si>
  <si>
    <t>ID Asal</t>
  </si>
  <si>
    <t>Nama Kota</t>
  </si>
  <si>
    <t>Id Tujuan</t>
  </si>
  <si>
    <t>Nama Kota Tujuan</t>
  </si>
  <si>
    <t>Jarak(KM)</t>
  </si>
  <si>
    <t>DC020</t>
  </si>
  <si>
    <t>jam kerja=</t>
  </si>
  <si>
    <t>Lokasi Asal</t>
  </si>
  <si>
    <t>ID Tujuan</t>
  </si>
  <si>
    <t>Jarak (km)</t>
  </si>
  <si>
    <t>DC003</t>
  </si>
  <si>
    <t>trip/bulan</t>
  </si>
  <si>
    <t>DC001</t>
  </si>
  <si>
    <t>DC005</t>
  </si>
  <si>
    <t>DC002</t>
  </si>
  <si>
    <t>DC022</t>
  </si>
  <si>
    <t>DC008</t>
  </si>
  <si>
    <t>DC004</t>
  </si>
  <si>
    <t>DC016</t>
  </si>
  <si>
    <t>59.2</t>
  </si>
  <si>
    <t>DC013</t>
  </si>
  <si>
    <t>DC006</t>
  </si>
  <si>
    <t>DC030</t>
  </si>
  <si>
    <t>DC007</t>
  </si>
  <si>
    <t>DC018</t>
  </si>
  <si>
    <t>PabrikKarawang</t>
  </si>
  <si>
    <t>Karawang</t>
  </si>
  <si>
    <t>DC009</t>
  </si>
  <si>
    <t>DC010</t>
  </si>
  <si>
    <t>DC011</t>
  </si>
  <si>
    <t>DC015</t>
  </si>
  <si>
    <t>DC012</t>
  </si>
  <si>
    <t>DC014</t>
  </si>
  <si>
    <t>DC025</t>
  </si>
  <si>
    <t>DC017</t>
  </si>
  <si>
    <t>DC027</t>
  </si>
  <si>
    <t>DC019</t>
  </si>
  <si>
    <t>DC021</t>
  </si>
  <si>
    <t>DC023</t>
  </si>
  <si>
    <t>DC026</t>
  </si>
  <si>
    <t>DC024</t>
  </si>
  <si>
    <t>DC028</t>
  </si>
  <si>
    <t>DC029</t>
  </si>
  <si>
    <t>Permintaan</t>
  </si>
  <si>
    <t>Ampah - Teweh</t>
  </si>
  <si>
    <t>Capacity</t>
  </si>
  <si>
    <t>Depo/Machine Room</t>
  </si>
  <si>
    <t>Bontang Sangata</t>
  </si>
  <si>
    <t>Demand</t>
  </si>
  <si>
    <t>Daerah</t>
  </si>
  <si>
    <t>DC</t>
  </si>
  <si>
    <t>Tipe</t>
  </si>
  <si>
    <t>Total Pengiriman</t>
  </si>
  <si>
    <t>Minimal Kapasitas</t>
  </si>
  <si>
    <t>Kapasitas Kendaraan</t>
  </si>
  <si>
    <t>Cek</t>
  </si>
  <si>
    <t>Asal</t>
  </si>
  <si>
    <t>Rute</t>
  </si>
  <si>
    <t>Vehicles</t>
  </si>
  <si>
    <t>Total Trips</t>
  </si>
  <si>
    <t>Muatan (box)</t>
  </si>
  <si>
    <t>Total Driver</t>
  </si>
  <si>
    <t>Max Trip/ Kendaraan</t>
  </si>
  <si>
    <t xml:space="preserve">Total Biaya Driver </t>
  </si>
  <si>
    <t>CDE ke Barabai</t>
  </si>
  <si>
    <t>CDE ke Batu Licin</t>
  </si>
  <si>
    <t>CDE ke Rantau</t>
  </si>
  <si>
    <t>Total</t>
  </si>
  <si>
    <t>CDD ke Sumbawa</t>
  </si>
  <si>
    <t>CDE ke Kupang</t>
  </si>
  <si>
    <t>CDE ke Maumere</t>
  </si>
  <si>
    <t>CDE ke Sumbawa</t>
  </si>
  <si>
    <t>CDE ke Bontang-Sangata</t>
  </si>
  <si>
    <t>CDE ke Ampah</t>
  </si>
  <si>
    <t>CDE ke Ketapang</t>
  </si>
  <si>
    <t>CDE ke Singkawang</t>
  </si>
  <si>
    <t>CDE ke Sintang</t>
  </si>
  <si>
    <t>CDE ke Pangkalanbun</t>
  </si>
  <si>
    <t>CDE ke Kolaka</t>
  </si>
  <si>
    <t>CDE ke Bau-Bau</t>
  </si>
  <si>
    <t>GrandMax ke Unaaha</t>
  </si>
  <si>
    <t>CDE ke Kotamobagu</t>
  </si>
  <si>
    <t>CDE ke Gorontalo</t>
  </si>
  <si>
    <t>GrandMax ke Amurang</t>
  </si>
  <si>
    <t>GrandMax ke Bitung</t>
  </si>
  <si>
    <t>GrandMax ke Tomohon</t>
  </si>
  <si>
    <t>90-120</t>
  </si>
  <si>
    <t>CDE ke Luwuk</t>
  </si>
  <si>
    <t>1 irang mengurus berapa barang</t>
  </si>
  <si>
    <t>CDE ke Mamuju</t>
  </si>
  <si>
    <t>CDE ke Poso</t>
  </si>
  <si>
    <t>GrandMax ke Parigi</t>
  </si>
  <si>
    <t>CDE ke Mangkutana</t>
  </si>
  <si>
    <t>CDE ke Toraja</t>
  </si>
  <si>
    <t>GrandMax ke Belopa</t>
  </si>
  <si>
    <t>CDE ke Polman</t>
  </si>
  <si>
    <t>CDE ke Sengkang</t>
  </si>
  <si>
    <t>GrandMax ke Barru</t>
  </si>
  <si>
    <t>CDE ke Penajam-Grogot</t>
  </si>
  <si>
    <t>CDD ke Gowa</t>
  </si>
  <si>
    <t>CDD ke Pare-Pare</t>
  </si>
  <si>
    <t>CDE ke Bulukumba</t>
  </si>
  <si>
    <t>CDE ke Gowa</t>
  </si>
  <si>
    <t>CDE ke Jeneponto</t>
  </si>
  <si>
    <t>CDE ke Bone</t>
  </si>
  <si>
    <t>CDE ke Palopo</t>
  </si>
  <si>
    <t>CDE ke Sinjai</t>
  </si>
  <si>
    <t>GrandMax ke Pangkep</t>
  </si>
  <si>
    <t>GrandMax ke Takalar</t>
  </si>
  <si>
    <t>CDE ke Marisa</t>
  </si>
  <si>
    <t xml:space="preserve"> TOTAL Middle Mile</t>
  </si>
  <si>
    <t>GRAND TOTAL</t>
  </si>
  <si>
    <t>jumlah driver: dari jarak tempuh --&gt; waktu tempuh. jam kerja driver (waktu tempuh) &lt;= 8 jam. Jika lebih dari 8 jam, maka nambah driver</t>
  </si>
  <si>
    <t xml:space="preserve">asumsi kecepatan rata2 vehicle </t>
  </si>
  <si>
    <t>km/jam</t>
  </si>
  <si>
    <t>jumlah staf: dari kapasitas gudang</t>
  </si>
  <si>
    <t>Driver Cost</t>
  </si>
  <si>
    <t>Staff Cost</t>
  </si>
  <si>
    <t>*Rental (Sewa Gudang)</t>
  </si>
  <si>
    <t>Sumbawa asumsi</t>
  </si>
  <si>
    <t>Karena dekat makassar</t>
  </si>
  <si>
    <t>Estimasi kapasitas depo</t>
  </si>
  <si>
    <t>Depo Kalimantan</t>
  </si>
  <si>
    <t>Depo Sulawesi</t>
  </si>
  <si>
    <t>Depo BaliNusra</t>
  </si>
  <si>
    <t>Estimasi Kapasitas</t>
  </si>
  <si>
    <t>Bima</t>
  </si>
  <si>
    <t>Mangkutanah</t>
  </si>
  <si>
    <t>DC2,DC007,DC013, DC014, DC19, DC28, DC30</t>
  </si>
  <si>
    <t>Frekuensi Penerimaan</t>
  </si>
  <si>
    <t>Rata-Rata Penerimaan</t>
  </si>
  <si>
    <t>Total Waktu (menit)</t>
  </si>
  <si>
    <t>Waktu Karyawan Kerja(menit)</t>
  </si>
  <si>
    <t>Jumlah Staff</t>
  </si>
  <si>
    <t>Biaya Staff</t>
  </si>
  <si>
    <t>Rata-Rata penerimaan dikali 2 menit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</si>
</sst>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&quot;Rp&quot;#,##0"/>
    <numFmt numFmtId="166" formatCode="_-[$Rp-421]* #,##0.00_-;_-[$Rp-421]* \-#,##0.00_-;_-[$Rp-421]* &quot;-&quot;??_-;_-@"/>
  </numFmts>
  <fonts count="30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/>
    <font>
      <b/>
      <i/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u/>
      <color rgb="FF0000FF"/>
    </font>
    <font>
      <u/>
      <color rgb="FF0000FF"/>
    </font>
    <font>
      <b/>
      <sz val="12.0"/>
      <color theme="1"/>
      <name val="Aptos"/>
    </font>
    <font>
      <b/>
      <sz val="12.0"/>
      <color theme="1"/>
      <name val="Arial"/>
    </font>
    <font>
      <b/>
      <color rgb="FF000000"/>
      <name val="Arial"/>
      <scheme val="minor"/>
    </font>
    <font>
      <color theme="1"/>
      <name val="Calibri"/>
    </font>
    <font>
      <b/>
      <sz val="11.0"/>
      <color rgb="FF000000"/>
      <name val="&quot;Aptos Narrow&quot;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color rgb="FF000000"/>
      <name val="Arial"/>
      <scheme val="minor"/>
    </font>
    <font>
      <b/>
      <sz val="11.0"/>
      <color rgb="FFD9D9D9"/>
      <name val="Calibri"/>
    </font>
    <font>
      <sz val="11.0"/>
      <color rgb="FFD9D9D9"/>
      <name val="Calibri"/>
    </font>
    <font>
      <sz val="11.0"/>
      <color rgb="FFFF0000"/>
      <name val="Calibri"/>
    </font>
    <font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356854"/>
        <bgColor rgb="FF356854"/>
      </patternFill>
    </fill>
    <fill>
      <patternFill patternType="solid">
        <fgColor rgb="FF980000"/>
        <bgColor rgb="FF9800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EAD1DC"/>
      </right>
      <top style="thin">
        <color rgb="FF284E3F"/>
      </top>
      <bottom style="thin">
        <color rgb="FF284E3F"/>
      </bottom>
    </border>
    <border>
      <left style="thin">
        <color rgb="FFEAD1DC"/>
      </left>
      <right style="thin">
        <color rgb="FFEAD1DC"/>
      </right>
      <top style="thin">
        <color rgb="FF284E3F"/>
      </top>
      <bottom style="thin">
        <color rgb="FF284E3F"/>
      </bottom>
    </border>
    <border>
      <left style="thin">
        <color rgb="FFEAD1DC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right" readingOrder="0" shrinkToFit="0" vertical="bottom" wrapText="0"/>
    </xf>
    <xf borderId="0" fillId="0" fontId="2" numFmtId="0" xfId="0" applyFont="1"/>
    <xf borderId="5" fillId="0" fontId="1" numFmtId="3" xfId="0" applyAlignment="1" applyBorder="1" applyFont="1" applyNumberFormat="1">
      <alignment horizontal="center" readingOrder="0" shrinkToFit="0" wrapText="1"/>
    </xf>
    <xf borderId="6" fillId="2" fontId="3" numFmtId="0" xfId="0" applyAlignment="1" applyBorder="1" applyFill="1" applyFont="1">
      <alignment horizontal="center" readingOrder="0" shrinkToFit="0" wrapText="1"/>
    </xf>
    <xf borderId="7" fillId="0" fontId="4" numFmtId="0" xfId="0" applyBorder="1" applyFont="1"/>
    <xf borderId="8" fillId="0" fontId="4" numFmtId="0" xfId="0" applyBorder="1" applyFont="1"/>
    <xf borderId="5" fillId="0" fontId="1" numFmtId="4" xfId="0" applyAlignment="1" applyBorder="1" applyFont="1" applyNumberFormat="1">
      <alignment horizontal="center" readingOrder="0" shrinkToFit="0" wrapText="1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0" fillId="0" fontId="2" numFmtId="3" xfId="0" applyFont="1" applyNumberFormat="1"/>
    <xf borderId="6" fillId="0" fontId="3" numFmtId="0" xfId="0" applyAlignment="1" applyBorder="1" applyFont="1">
      <alignment horizontal="center" readingOrder="0" shrinkToFit="0" wrapText="1"/>
    </xf>
    <xf borderId="5" fillId="0" fontId="3" numFmtId="3" xfId="0" applyAlignment="1" applyBorder="1" applyFont="1" applyNumberForma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5" fillId="3" fontId="1" numFmtId="3" xfId="0" applyAlignment="1" applyBorder="1" applyFill="1" applyFont="1" applyNumberFormat="1">
      <alignment horizontal="center" readingOrder="0" shrinkToFit="0" wrapText="1"/>
    </xf>
    <xf borderId="5" fillId="4" fontId="1" numFmtId="3" xfId="0" applyAlignment="1" applyBorder="1" applyFill="1" applyFont="1" applyNumberFormat="1">
      <alignment horizontal="center" readingOrder="0" shrinkToFit="0" wrapText="1"/>
    </xf>
    <xf borderId="5" fillId="5" fontId="1" numFmtId="3" xfId="0" applyAlignment="1" applyBorder="1" applyFill="1" applyFont="1" applyNumberFormat="1">
      <alignment horizontal="center" readingOrder="0" shrinkToFit="0" wrapText="1"/>
    </xf>
    <xf borderId="5" fillId="6" fontId="1" numFmtId="3" xfId="0" applyAlignment="1" applyBorder="1" applyFill="1" applyFont="1" applyNumberFormat="1">
      <alignment horizontal="center" readingOrder="0" shrinkToFit="0" wrapText="1"/>
    </xf>
    <xf borderId="5" fillId="7" fontId="1" numFmtId="3" xfId="0" applyAlignment="1" applyBorder="1" applyFill="1" applyFont="1" applyNumberFormat="1">
      <alignment horizontal="center" readingOrder="0" shrinkToFit="0" wrapText="1"/>
    </xf>
    <xf borderId="5" fillId="8" fontId="1" numFmtId="3" xfId="0" applyAlignment="1" applyBorder="1" applyFill="1" applyFont="1" applyNumberFormat="1">
      <alignment horizontal="center" readingOrder="0" shrinkToFit="0" wrapText="1"/>
    </xf>
    <xf borderId="0" fillId="5" fontId="2" numFmtId="3" xfId="0" applyFont="1" applyNumberFormat="1"/>
    <xf borderId="0" fillId="7" fontId="1" numFmtId="3" xfId="0" applyAlignment="1" applyFont="1" applyNumberFormat="1">
      <alignment readingOrder="0" shrinkToFit="0" vertical="bottom" wrapText="0"/>
    </xf>
    <xf borderId="5" fillId="9" fontId="1" numFmtId="3" xfId="0" applyAlignment="1" applyBorder="1" applyFill="1" applyFont="1" applyNumberFormat="1">
      <alignment horizontal="center" readingOrder="0" shrinkToFit="0" wrapText="1"/>
    </xf>
    <xf borderId="5" fillId="10" fontId="1" numFmtId="3" xfId="0" applyAlignment="1" applyBorder="1" applyFill="1" applyFont="1" applyNumberFormat="1">
      <alignment horizontal="center" readingOrder="0" shrinkToFit="0" wrapText="1"/>
    </xf>
    <xf borderId="0" fillId="7" fontId="1" numFmtId="0" xfId="0" applyAlignment="1" applyFont="1">
      <alignment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9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5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right"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9" numFmtId="0" xfId="0" applyAlignment="1" applyFont="1">
      <alignment vertical="bottom"/>
    </xf>
    <xf borderId="5" fillId="0" fontId="12" numFmtId="0" xfId="0" applyAlignment="1" applyBorder="1" applyFont="1">
      <alignment vertical="bottom"/>
    </xf>
    <xf borderId="5" fillId="0" fontId="13" numFmtId="164" xfId="0" applyAlignment="1" applyBorder="1" applyFont="1" applyNumberFormat="1">
      <alignment readingOrder="0" vertical="bottom"/>
    </xf>
    <xf borderId="0" fillId="0" fontId="13" numFmtId="0" xfId="0" applyAlignment="1" applyFont="1">
      <alignment readingOrder="0" vertical="bottom"/>
    </xf>
    <xf borderId="5" fillId="0" fontId="7" numFmtId="164" xfId="0" applyAlignment="1" applyBorder="1" applyFont="1" applyNumberFormat="1">
      <alignment readingOrder="0" shrinkToFit="0" vertical="bottom" wrapText="0"/>
    </xf>
    <xf borderId="0" fillId="0" fontId="14" numFmtId="0" xfId="0" applyAlignment="1" applyFont="1">
      <alignment readingOrder="0"/>
    </xf>
    <xf borderId="5" fillId="0" fontId="1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5" fillId="0" fontId="2" numFmtId="164" xfId="0" applyAlignment="1" applyBorder="1" applyFont="1" applyNumberFormat="1">
      <alignment readingOrder="0"/>
    </xf>
    <xf borderId="5" fillId="0" fontId="7" numFmtId="0" xfId="0" applyAlignment="1" applyBorder="1" applyFont="1">
      <alignment horizontal="left" readingOrder="0" shrinkToFit="0" vertical="bottom" wrapText="0"/>
    </xf>
    <xf borderId="5" fillId="0" fontId="12" numFmtId="164" xfId="0" applyAlignment="1" applyBorder="1" applyFont="1" applyNumberFormat="1">
      <alignment vertical="bottom"/>
    </xf>
    <xf borderId="5" fillId="0" fontId="13" numFmtId="164" xfId="0" applyAlignment="1" applyBorder="1" applyFont="1" applyNumberFormat="1">
      <alignment vertical="bottom"/>
    </xf>
    <xf borderId="5" fillId="0" fontId="13" numFmtId="0" xfId="0" applyAlignment="1" applyBorder="1" applyFont="1">
      <alignment readingOrder="0" vertical="bottom"/>
    </xf>
    <xf borderId="5" fillId="0" fontId="12" numFmtId="0" xfId="0" applyAlignment="1" applyBorder="1" applyFont="1">
      <alignment readingOrder="0" vertical="bottom"/>
    </xf>
    <xf borderId="5" fillId="0" fontId="13" numFmtId="164" xfId="0" applyAlignment="1" applyBorder="1" applyFont="1" applyNumberFormat="1">
      <alignment readingOrder="0" vertical="bottom"/>
    </xf>
    <xf borderId="5" fillId="0" fontId="13" numFmtId="0" xfId="0" applyAlignment="1" applyBorder="1" applyFont="1">
      <alignment vertical="bottom"/>
    </xf>
    <xf borderId="5" fillId="0" fontId="6" numFmtId="164" xfId="0" applyAlignment="1" applyBorder="1" applyFont="1" applyNumberFormat="1">
      <alignment readingOrder="0"/>
    </xf>
    <xf borderId="5" fillId="0" fontId="13" numFmtId="0" xfId="0" applyAlignment="1" applyBorder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quotePrefix="1"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11" fontId="1" numFmtId="0" xfId="0" applyAlignment="1" applyFill="1" applyFont="1">
      <alignment readingOrder="0" shrinkToFit="0" vertical="bottom" wrapText="0"/>
    </xf>
    <xf borderId="5" fillId="11" fontId="13" numFmtId="164" xfId="0" applyAlignment="1" applyBorder="1" applyFont="1" applyNumberFormat="1">
      <alignment readingOrder="0" vertical="bottom"/>
    </xf>
    <xf borderId="5" fillId="10" fontId="12" numFmtId="164" xfId="0" applyAlignment="1" applyBorder="1" applyFont="1" applyNumberFormat="1">
      <alignment vertical="bottom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5" fillId="13" fontId="12" numFmtId="164" xfId="0" applyAlignment="1" applyBorder="1" applyFont="1" applyNumberFormat="1">
      <alignment vertical="bottom"/>
    </xf>
    <xf borderId="0" fillId="14" fontId="2" numFmtId="0" xfId="0" applyAlignment="1" applyFill="1" applyFont="1">
      <alignment readingOrder="0"/>
    </xf>
    <xf borderId="0" fillId="14" fontId="1" numFmtId="0" xfId="0" applyAlignment="1" applyFont="1">
      <alignment readingOrder="0" shrinkToFit="0" vertical="bottom" wrapText="0"/>
    </xf>
    <xf borderId="5" fillId="10" fontId="13" numFmtId="164" xfId="0" applyAlignment="1" applyBorder="1" applyFont="1" applyNumberFormat="1">
      <alignment readingOrder="0" vertical="bottom"/>
    </xf>
    <xf borderId="0" fillId="10" fontId="1" numFmtId="0" xfId="0" applyAlignment="1" applyFont="1">
      <alignment readingOrder="0" shrinkToFit="0" vertical="bottom" wrapText="0"/>
    </xf>
    <xf borderId="5" fillId="10" fontId="2" numFmtId="164" xfId="0" applyAlignment="1" applyBorder="1" applyFont="1" applyNumberFormat="1">
      <alignment readingOrder="0"/>
    </xf>
    <xf borderId="0" fillId="12" fontId="1" numFmtId="0" xfId="0" applyAlignment="1" applyFont="1">
      <alignment readingOrder="0" shrinkToFit="0" vertical="bottom" wrapText="0"/>
    </xf>
    <xf borderId="0" fillId="13" fontId="1" numFmtId="0" xfId="0" applyAlignment="1" applyFont="1">
      <alignment readingOrder="0" shrinkToFit="0" vertical="bottom" wrapText="0"/>
    </xf>
    <xf borderId="0" fillId="12" fontId="2" numFmtId="0" xfId="0" applyFont="1"/>
    <xf borderId="5" fillId="7" fontId="6" numFmtId="164" xfId="0" applyAlignment="1" applyBorder="1" applyFont="1" applyNumberFormat="1">
      <alignment readingOrder="0"/>
    </xf>
    <xf borderId="5" fillId="0" fontId="2" numFmtId="0" xfId="0" applyBorder="1" applyFont="1"/>
    <xf borderId="5" fillId="7" fontId="2" numFmtId="0" xfId="0" applyBorder="1" applyFont="1"/>
    <xf borderId="0" fillId="7" fontId="2" numFmtId="0" xfId="0" applyFont="1"/>
    <xf borderId="12" fillId="0" fontId="2" numFmtId="0" xfId="0" applyAlignment="1" applyBorder="1" applyFont="1">
      <alignment horizontal="left" readingOrder="0" shrinkToFit="0" vertical="center" wrapText="0"/>
    </xf>
    <xf borderId="13" fillId="0" fontId="2" numFmtId="0" xfId="0" applyAlignment="1" applyBorder="1" applyFont="1">
      <alignment horizontal="left" readingOrder="0" shrinkToFit="0" vertical="center" wrapText="0"/>
    </xf>
    <xf borderId="14" fillId="0" fontId="2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readingOrder="0" shrinkToFit="0" vertical="bottom" wrapText="0"/>
    </xf>
    <xf borderId="5" fillId="0" fontId="13" numFmtId="164" xfId="0" applyAlignment="1" applyBorder="1" applyFont="1" applyNumberFormat="1">
      <alignment readingOrder="0" shrinkToFit="0" vertical="bottom" wrapText="0"/>
    </xf>
    <xf borderId="0" fillId="0" fontId="12" numFmtId="2" xfId="0" applyAlignment="1" applyFont="1" applyNumberFormat="1">
      <alignment horizontal="right" vertical="bottom"/>
    </xf>
    <xf borderId="15" fillId="4" fontId="18" numFmtId="0" xfId="0" applyAlignment="1" applyBorder="1" applyFont="1">
      <alignment horizontal="center" readingOrder="0" shrinkToFit="0" vertical="center" wrapText="0"/>
    </xf>
    <xf borderId="16" fillId="4" fontId="18" numFmtId="0" xfId="0" applyAlignment="1" applyBorder="1" applyFont="1">
      <alignment horizontal="center" readingOrder="0" shrinkToFit="0" vertical="center" wrapText="0"/>
    </xf>
    <xf borderId="17" fillId="4" fontId="18" numFmtId="0" xfId="0" applyAlignment="1" applyBorder="1" applyFont="1">
      <alignment horizontal="center" readingOrder="0" shrinkToFit="0" vertical="center" wrapText="0"/>
    </xf>
    <xf borderId="5" fillId="4" fontId="8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shrinkToFit="0" vertical="bottom" wrapText="0"/>
    </xf>
    <xf borderId="5" fillId="0" fontId="9" numFmtId="164" xfId="0" applyAlignment="1" applyBorder="1" applyFont="1" applyNumberFormat="1">
      <alignment readingOrder="0" shrinkToFit="0" vertical="bottom" wrapText="0"/>
    </xf>
    <xf borderId="5" fillId="15" fontId="1" numFmtId="0" xfId="0" applyAlignment="1" applyBorder="1" applyFill="1" applyFont="1">
      <alignment readingOrder="0" shrinkToFit="0" vertical="center" wrapText="0"/>
    </xf>
    <xf borderId="5" fillId="15" fontId="9" numFmtId="0" xfId="0" applyAlignment="1" applyBorder="1" applyFont="1">
      <alignment vertical="center"/>
    </xf>
    <xf borderId="5" fillId="15" fontId="9" numFmtId="3" xfId="0" applyAlignment="1" applyBorder="1" applyFont="1" applyNumberFormat="1">
      <alignment horizontal="right" vertical="center"/>
    </xf>
    <xf borderId="5" fillId="0" fontId="9" numFmtId="164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2" numFmtId="164" xfId="0" applyAlignment="1" applyBorder="1" applyFont="1" applyNumberFormat="1">
      <alignment shrinkToFit="0" vertical="bottom" wrapText="0"/>
    </xf>
    <xf borderId="5" fillId="15" fontId="9" numFmtId="0" xfId="0" applyAlignment="1" applyBorder="1" applyFont="1">
      <alignment horizontal="right" readingOrder="0" vertical="center"/>
    </xf>
    <xf borderId="5" fillId="0" fontId="13" numFmtId="0" xfId="0" applyAlignment="1" applyBorder="1" applyFont="1">
      <alignment shrinkToFit="0" vertical="bottom" wrapText="0"/>
    </xf>
    <xf borderId="5" fillId="15" fontId="1" numFmtId="3" xfId="0" applyAlignment="1" applyBorder="1" applyFont="1" applyNumberFormat="1">
      <alignment horizontal="right" readingOrder="0" shrinkToFit="0" vertical="center" wrapText="0"/>
    </xf>
    <xf borderId="5" fillId="0" fontId="19" numFmtId="164" xfId="0" applyAlignment="1" applyBorder="1" applyFont="1" applyNumberFormat="1">
      <alignment readingOrder="0" shrinkToFit="0" vertical="center" wrapText="0"/>
    </xf>
    <xf borderId="5" fillId="15" fontId="9" numFmtId="0" xfId="0" applyAlignment="1" applyBorder="1" applyFont="1">
      <alignment horizontal="right" vertical="center"/>
    </xf>
    <xf borderId="5" fillId="0" fontId="7" numFmtId="164" xfId="0" applyAlignment="1" applyBorder="1" applyFont="1" applyNumberFormat="1">
      <alignment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5" fillId="0" fontId="1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bottom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6" numFmtId="164" xfId="0" applyAlignment="1" applyBorder="1" applyFont="1" applyNumberFormat="1">
      <alignment readingOrder="0" shrinkToFit="0" vertical="center" wrapText="0"/>
    </xf>
    <xf borderId="5" fillId="0" fontId="13" numFmtId="164" xfId="0" applyAlignment="1" applyBorder="1" applyFont="1" applyNumberFormat="1">
      <alignment shrinkToFit="0" vertical="bottom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15" fontId="9" numFmtId="0" xfId="0" applyAlignment="1" applyBorder="1" applyFont="1">
      <alignment readingOrder="0" vertical="center"/>
    </xf>
    <xf borderId="5" fillId="15" fontId="1" numFmtId="0" xfId="0" applyAlignment="1" applyBorder="1" applyFont="1">
      <alignment horizontal="right" readingOrder="0" vertical="center"/>
    </xf>
    <xf borderId="5" fillId="0" fontId="12" numFmtId="0" xfId="0" applyAlignment="1" applyBorder="1" applyFont="1">
      <alignment readingOrder="0" shrinkToFit="0" vertical="bottom" wrapText="0"/>
    </xf>
    <xf borderId="5" fillId="0" fontId="13" numFmtId="164" xfId="0" applyAlignment="1" applyBorder="1" applyFont="1" applyNumberFormat="1">
      <alignment readingOrder="0" shrinkToFit="0" vertical="bottom" wrapText="0"/>
    </xf>
    <xf borderId="5" fillId="15" fontId="19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vertical="center" wrapText="0"/>
    </xf>
    <xf borderId="5" fillId="0" fontId="13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right" vertical="bottom"/>
    </xf>
    <xf borderId="5" fillId="0" fontId="9" numFmtId="164" xfId="0" applyAlignment="1" applyBorder="1" applyFont="1" applyNumberFormat="1">
      <alignment horizontal="right" shrinkToFit="0" vertical="bottom" wrapText="0"/>
    </xf>
    <xf borderId="5" fillId="0" fontId="1" numFmtId="164" xfId="0" applyAlignment="1" applyBorder="1" applyFont="1" applyNumberFormat="1">
      <alignment readingOrder="0" shrinkToFit="0" vertical="bottom" wrapText="0"/>
    </xf>
    <xf borderId="5" fillId="0" fontId="9" numFmtId="3" xfId="0" applyAlignment="1" applyBorder="1" applyFont="1" applyNumberFormat="1">
      <alignment horizontal="right" readingOrder="0" shrinkToFit="0" vertical="bottom" wrapText="0"/>
    </xf>
    <xf borderId="5" fillId="0" fontId="9" numFmtId="164" xfId="0" applyAlignment="1" applyBorder="1" applyFont="1" applyNumberFormat="1">
      <alignment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5" fillId="15" fontId="1" numFmtId="0" xfId="0" applyAlignment="1" applyBorder="1" applyFont="1">
      <alignment horizontal="left" readingOrder="0" shrinkToFit="0" vertical="center" wrapText="0"/>
    </xf>
    <xf borderId="5" fillId="15" fontId="9" numFmtId="3" xfId="0" applyAlignment="1" applyBorder="1" applyFont="1" applyNumberFormat="1">
      <alignment horizontal="right" readingOrder="0" vertical="center"/>
    </xf>
    <xf borderId="5" fillId="0" fontId="7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" fillId="0" fontId="13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wrapText="1"/>
    </xf>
    <xf borderId="5" fillId="0" fontId="1" numFmtId="3" xfId="0" applyAlignment="1" applyBorder="1" applyFont="1" applyNumberFormat="1">
      <alignment horizontal="center" readingOrder="0" shrinkToFit="0" vertical="center" wrapText="0"/>
    </xf>
    <xf borderId="5" fillId="0" fontId="9" numFmtId="3" xfId="0" applyAlignment="1" applyBorder="1" applyFont="1" applyNumberFormat="1">
      <alignment horizontal="center" shrinkToFit="0" vertical="bottom" wrapText="1"/>
    </xf>
    <xf borderId="5" fillId="0" fontId="1" numFmtId="3" xfId="0" applyAlignment="1" applyBorder="1" applyFont="1" applyNumberFormat="1">
      <alignment horizontal="center" readingOrder="0" shrinkToFit="0" vertical="center" wrapText="1"/>
    </xf>
    <xf borderId="5" fillId="0" fontId="9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3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20" numFmtId="3" xfId="0" applyAlignment="1" applyFont="1" applyNumberFormat="1">
      <alignment horizontal="right" readingOrder="0" vertical="center"/>
    </xf>
    <xf borderId="0" fillId="0" fontId="20" numFmtId="165" xfId="0" applyAlignment="1" applyFont="1" applyNumberFormat="1">
      <alignment horizontal="right" readingOrder="0" vertical="center"/>
    </xf>
    <xf borderId="18" fillId="0" fontId="1" numFmtId="4" xfId="0" applyAlignment="1" applyBorder="1" applyFont="1" applyNumberFormat="1">
      <alignment horizontal="center" readingOrder="0" shrinkToFit="0" vertical="center" wrapText="0"/>
    </xf>
    <xf borderId="11" fillId="0" fontId="4" numFmtId="0" xfId="0" applyBorder="1" applyFont="1"/>
    <xf borderId="9" fillId="0" fontId="4" numFmtId="0" xfId="0" applyBorder="1" applyFont="1"/>
    <xf borderId="0" fillId="0" fontId="20" numFmtId="0" xfId="0" applyAlignment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20" numFmtId="0" xfId="0" applyAlignment="1" applyFont="1">
      <alignment horizontal="right" readingOrder="0" shrinkToFit="0" vertical="center" wrapText="0"/>
    </xf>
    <xf borderId="0" fillId="0" fontId="20" numFmtId="165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horizontal="right" readingOrder="0" vertical="center"/>
    </xf>
    <xf borderId="0" fillId="0" fontId="20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165" xfId="0" applyFont="1" applyNumberFormat="1"/>
    <xf borderId="0" fillId="0" fontId="23" numFmtId="166" xfId="0" applyFont="1" applyNumberFormat="1"/>
    <xf borderId="0" fillId="0" fontId="24" numFmtId="0" xfId="0" applyAlignment="1" applyFont="1">
      <alignment readingOrder="0"/>
    </xf>
    <xf borderId="0" fillId="0" fontId="22" numFmtId="165" xfId="0" applyFont="1" applyNumberFormat="1"/>
    <xf borderId="0" fillId="0" fontId="25" numFmtId="0" xfId="0" applyAlignment="1" applyFont="1">
      <alignment readingOrder="0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readingOrder="0" shrinkToFit="0" vertical="bottom" wrapText="0"/>
    </xf>
    <xf borderId="2" fillId="0" fontId="2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5" fillId="0" fontId="1" numFmtId="4" xfId="0" applyAlignment="1" applyBorder="1" applyFont="1" applyNumberFormat="1">
      <alignment horizontal="center" readingOrder="0" shrinkToFit="0" vertical="center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12" fillId="0" fontId="8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readingOrder="0"/>
    </xf>
    <xf borderId="5" fillId="0" fontId="10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29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bottom" wrapText="1"/>
    </xf>
    <xf borderId="0" fillId="0" fontId="1" numFmtId="3" xfId="0" applyAlignment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none"/>
      </fill>
      <border/>
    </dxf>
  </dxfs>
  <tableStyles count="14">
    <tableStyle count="2" pivot="0" name="Biaya Variable KendaraanTrip ti-style">
      <tableStyleElement dxfId="1" type="firstRowStripe"/>
      <tableStyleElement dxfId="2" type="secondRowStripe"/>
    </tableStyle>
    <tableStyle count="2" pivot="0" name="Biaya Variable KendaraanTrip ti-style 2">
      <tableStyleElement dxfId="1" type="firstRowStripe"/>
      <tableStyleElement dxfId="2" type="secondRowStripe"/>
    </tableStyle>
    <tableStyle count="3" pivot="0" name="(SRP Usulan) Jarak Tempuh Middl-style">
      <tableStyleElement dxfId="3" type="headerRow"/>
      <tableStyleElement dxfId="1" type="firstRowStripe"/>
      <tableStyleElement dxfId="2" type="secondRowStripe"/>
    </tableStyle>
    <tableStyle count="3" pivot="0" name="(SRP Usulan) Jarak Tempuh Middl-style 2">
      <tableStyleElement dxfId="3" type="headerRow"/>
      <tableStyleElement dxfId="1" type="firstRowStripe"/>
      <tableStyleElement dxfId="2" type="secondRowStripe"/>
    </tableStyle>
    <tableStyle count="2" pivot="0" name="(SRP Usulan) Jarak Tempuh Middl-style 3">
      <tableStyleElement dxfId="1" type="firstRowStripe"/>
      <tableStyleElement dxfId="2" type="secondRowStripe"/>
    </tableStyle>
    <tableStyle count="3" pivot="0" name="(agoy fadli) Total Permintaan M-style">
      <tableStyleElement dxfId="3" type="headerRow"/>
      <tableStyleElement dxfId="1" type="firstRowStripe"/>
      <tableStyleElement dxfId="2" type="secondRowStripe"/>
    </tableStyle>
    <tableStyle count="3" pivot="0" name="(agoy fadli) Total Permintaan M-style 2">
      <tableStyleElement dxfId="3" type="headerRow"/>
      <tableStyleElement dxfId="1" type="firstRowStripe"/>
      <tableStyleElement dxfId="2" type="secondRowStripe"/>
    </tableStyle>
    <tableStyle count="2" pivot="0" name="(agoy fadli) Total Permintaan M-style 3">
      <tableStyleElement dxfId="1" type="firstRowStripe"/>
      <tableStyleElement dxfId="2" type="secondRowStripe"/>
    </tableStyle>
    <tableStyle count="2" pivot="0" name="Sheet20-style">
      <tableStyleElement dxfId="2" type="firstRowStripe"/>
      <tableStyleElement dxfId="1" type="secondRowStripe"/>
    </tableStyle>
    <tableStyle count="3" pivot="0" name="Copy of (agoy fadli) Total Perm-style">
      <tableStyleElement dxfId="3" type="headerRow"/>
      <tableStyleElement dxfId="1" type="firstRowStripe"/>
      <tableStyleElement dxfId="2" type="secondRowStripe"/>
    </tableStyle>
    <tableStyle count="3" pivot="0" name="Copy of (agoy fadli) Total Perm-style 2">
      <tableStyleElement dxfId="3" type="headerRow"/>
      <tableStyleElement dxfId="1" type="firstRowStripe"/>
      <tableStyleElement dxfId="2" type="secondRowStripe"/>
    </tableStyle>
    <tableStyle count="2" pivot="0" name="Copy of (agoy fadli) Total Perm-style 3">
      <tableStyleElement dxfId="1" type="firstRowStripe"/>
      <tableStyleElement dxfId="2" type="secondRowStripe"/>
    </tableStyle>
    <tableStyle count="3" pivot="0" name="Kapasitas Inventori(ini rada su-style">
      <tableStyleElement dxfId="3" type="headerRow"/>
      <tableStyleElement dxfId="1" type="firstRowStripe"/>
      <tableStyleElement dxfId="2" type="secondRowStripe"/>
    </tableStyle>
    <tableStyle count="2" pivot="0" name="Biaya Staff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533400</xdr:colOff>
      <xdr:row>10</xdr:row>
      <xdr:rowOff>228600</xdr:rowOff>
    </xdr:from>
    <xdr:ext cx="1495425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8:F10" displayName="Table_1" name="Table_1" id="1">
  <tableColumns count="3">
    <tableColumn name="Column1" id="1"/>
    <tableColumn name="Column2" id="2"/>
    <tableColumn name="Column3" id="3"/>
  </tableColumns>
  <tableStyleInfo name="Biaya Variable KendaraanTrip ti-style" showColumnStripes="0" showFirstColumn="1" showLastColumn="1" showRowStripes="1"/>
</table>
</file>

<file path=xl/tables/table2.xml><?xml version="1.0" encoding="utf-8"?>
<table xmlns="http://schemas.openxmlformats.org/spreadsheetml/2006/main" headerRowCount="0" ref="C12:D45" displayName="Table_2" name="Table_2" id="2">
  <tableColumns count="2">
    <tableColumn name="Column1" id="1"/>
    <tableColumn name="Column2" id="2"/>
  </tableColumns>
  <tableStyleInfo name="Biaya Variable KendaraanTrip ti-style 2" showColumnStripes="0" showFirstColumn="1" showLastColumn="1" showRowStripes="1"/>
</table>
</file>

<file path=xl/tables/table3.xml><?xml version="1.0" encoding="utf-8"?>
<table xmlns="http://schemas.openxmlformats.org/spreadsheetml/2006/main" ref="A1:E43" displayName="Table1" name="Table1" id="3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(SRP Usulan) Jarak Tempuh Middl-style" showColumnStripes="0" showFirstColumn="1" showLastColumn="1" showRowStripes="1"/>
</table>
</file>

<file path=xl/tables/table4.xml><?xml version="1.0" encoding="utf-8"?>
<table xmlns="http://schemas.openxmlformats.org/spreadsheetml/2006/main" ref="N2:R46" displayName="Table2" name="Table2" id="4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(SRP Usulan) Jarak Tempuh Middl-style 2" showColumnStripes="0" showFirstColumn="1" showLastColumn="1" showRowStripes="1"/>
</table>
</file>

<file path=xl/tables/table5.xml><?xml version="1.0" encoding="utf-8"?>
<table xmlns="http://schemas.openxmlformats.org/spreadsheetml/2006/main" headerRowCount="0" ref="T3:X46" displayName="Table_3" name="Table_3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(SRP Usulan) Jarak Tempuh Middl-style 3" showColumnStripes="0" showFirstColumn="1" showLastColumn="1" showRowStripes="1"/>
</table>
</file>

<file path=xl/tables/table6.xml><?xml version="1.0" encoding="utf-8"?>
<table xmlns="http://schemas.openxmlformats.org/spreadsheetml/2006/main" ref="F1:J43" displayName="Table3" name="Table3" id="6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(agoy fadli) Total Permintaan M-style" showColumnStripes="0" showFirstColumn="1" showLastColumn="1" showRowStripes="1"/>
</table>
</file>

<file path=xl/tables/table7.xml><?xml version="1.0" encoding="utf-8"?>
<table xmlns="http://schemas.openxmlformats.org/spreadsheetml/2006/main" ref="L1:P45" displayName="Table4" name="Table4" id="7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(agoy fadli) Total Permintaan M-style 2" showColumnStripes="0" showFirstColumn="1" showLastColumn="1" showRowStripes="1"/>
</table>
</file>

<file path=xl/tables/table8.xml><?xml version="1.0" encoding="utf-8"?>
<table xmlns="http://schemas.openxmlformats.org/spreadsheetml/2006/main" headerRowCount="0" ref="R2:V45" displayName="Table_4" name="Table_4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(agoy fadli) Total Permintaan M-style 3" showColumnStripes="0" showFirstColumn="1" showLastColumn="1" showRowStripes="1"/>
</table>
</file>

<file path=xl/tables/table9.xml><?xml version="1.0" encoding="utf-8"?>
<table xmlns="http://schemas.openxmlformats.org/spreadsheetml/2006/main" headerRowCount="0" ref="E2:H28" displayName="Table_5" name="Table_5" id="9">
  <tableColumns count="4">
    <tableColumn name="Column1" id="1"/>
    <tableColumn name="Column2" id="2"/>
    <tableColumn name="Column3" id="3"/>
    <tableColumn name="Column4" id="4"/>
  </tableColumns>
  <tableStyleInfo name="Sheet20-style" showColumnStripes="0" showFirstColumn="1" showLastColumn="1" showRowStripes="1"/>
</table>
</file>

<file path=xl/tables/table10.xml><?xml version="1.0" encoding="utf-8"?>
<table xmlns="http://schemas.openxmlformats.org/spreadsheetml/2006/main" ref="F1:J43" displayName="Table3_2" name="Table3_2" id="10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Copy of (agoy fadli) Total Perm-style" showColumnStripes="0" showFirstColumn="1" showLastColumn="1" showRowStripes="1"/>
</table>
</file>

<file path=xl/tables/table11.xml><?xml version="1.0" encoding="utf-8"?>
<table xmlns="http://schemas.openxmlformats.org/spreadsheetml/2006/main" ref="L1:P45" displayName="Table4_2" name="Table4_2" id="11">
  <tableColumns count="5">
    <tableColumn name="ID Asal" id="1"/>
    <tableColumn name="Nama Kota" id="2"/>
    <tableColumn name="Id Tujuan" id="3"/>
    <tableColumn name="Nama Kota Tujuan" id="4"/>
    <tableColumn name="Jarak(KM)" id="5"/>
  </tableColumns>
  <tableStyleInfo name="Copy of (agoy fadli) Total Perm-style 2" showColumnStripes="0" showFirstColumn="1" showLastColumn="1" showRowStripes="1"/>
</table>
</file>

<file path=xl/tables/table12.xml><?xml version="1.0" encoding="utf-8"?>
<table xmlns="http://schemas.openxmlformats.org/spreadsheetml/2006/main" headerRowCount="0" ref="R2:V45" displayName="Table_6" name="Table_6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(agoy fadli) Total Perm-style 3" showColumnStripes="0" showFirstColumn="1" showLastColumn="1" showRowStripes="1"/>
</table>
</file>

<file path=xl/tables/table13.xml><?xml version="1.0" encoding="utf-8"?>
<table xmlns="http://schemas.openxmlformats.org/spreadsheetml/2006/main" ref="B3:E57" displayName="Table5" name="Table5" id="13">
  <tableColumns count="4">
    <tableColumn name="DC ID" id="1"/>
    <tableColumn name="Area" id="2"/>
    <tableColumn name="Type" id="3"/>
    <tableColumn name="Capacity" id="4"/>
  </tableColumns>
  <tableStyleInfo name="Kapasitas Inventori(ini rada su-style" showColumnStripes="0" showFirstColumn="1" showLastColumn="1" showRowStripes="1"/>
</table>
</file>

<file path=xl/tables/table14.xml><?xml version="1.0" encoding="utf-8"?>
<table xmlns="http://schemas.openxmlformats.org/spreadsheetml/2006/main" headerRowCount="0" ref="B2:H29" displayName="Table_7" name="Table_7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aya Staf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zUUoSwMh_7Tqi-kTA__gdN4c5aFTCR9/view?usp=drive_link" TargetMode="External"/><Relationship Id="rId2" Type="http://schemas.openxmlformats.org/officeDocument/2006/relationships/drawing" Target="../drawings/drawing8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isnamotorbalirental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13"/>
    <col customWidth="1" min="5" max="5" width="11.13"/>
    <col customWidth="1" min="6" max="6" width="10.75"/>
  </cols>
  <sheetData>
    <row r="3">
      <c r="B3" s="1" t="s">
        <v>0</v>
      </c>
      <c r="C3" s="2" t="s">
        <v>1</v>
      </c>
      <c r="D3" s="3" t="s">
        <v>2</v>
      </c>
      <c r="E3" s="4" t="s">
        <v>3</v>
      </c>
      <c r="F3" s="4" t="s">
        <v>4</v>
      </c>
    </row>
    <row r="4">
      <c r="B4" s="5" t="s">
        <v>5</v>
      </c>
      <c r="C4" s="6">
        <v>2360.0</v>
      </c>
      <c r="D4" s="4">
        <v>67.0</v>
      </c>
      <c r="E4" s="7">
        <f>D4^(1/3)</f>
        <v>4.0615481</v>
      </c>
      <c r="F4" s="7">
        <f>SQRT(50000)</f>
        <v>223.6067977</v>
      </c>
    </row>
    <row r="5">
      <c r="B5" s="5" t="s">
        <v>6</v>
      </c>
      <c r="C5" s="6">
        <v>1600.0</v>
      </c>
      <c r="H5" s="4"/>
    </row>
    <row r="6">
      <c r="B6" s="5" t="s">
        <v>7</v>
      </c>
      <c r="C6" s="6">
        <v>1160.0</v>
      </c>
      <c r="D6" s="4">
        <v>33.0</v>
      </c>
    </row>
    <row r="7">
      <c r="B7" s="5" t="s">
        <v>8</v>
      </c>
      <c r="C7" s="6">
        <v>880.0</v>
      </c>
    </row>
    <row r="8">
      <c r="B8" s="5" t="s">
        <v>9</v>
      </c>
      <c r="C8" s="6">
        <v>280.0</v>
      </c>
      <c r="D8" s="4">
        <v>25.0</v>
      </c>
    </row>
    <row r="10">
      <c r="C10" s="8">
        <v>4623.0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</cols>
  <sheetData>
    <row r="3">
      <c r="B3" s="9" t="s">
        <v>10</v>
      </c>
      <c r="C3" s="10"/>
      <c r="D3" s="11"/>
      <c r="F3" s="12">
        <v>28495.968</v>
      </c>
      <c r="G3" s="13" t="s">
        <v>11</v>
      </c>
      <c r="H3" s="14" t="s">
        <v>12</v>
      </c>
      <c r="I3" s="14" t="s">
        <v>13</v>
      </c>
      <c r="J3" s="12"/>
      <c r="K3" s="13"/>
      <c r="L3" s="14"/>
      <c r="M3" s="14"/>
    </row>
    <row r="4">
      <c r="B4" s="15" t="s">
        <v>14</v>
      </c>
      <c r="C4" s="15" t="s">
        <v>15</v>
      </c>
      <c r="D4" s="15" t="s">
        <v>16</v>
      </c>
      <c r="F4" s="8">
        <v>6252.0</v>
      </c>
      <c r="G4" s="13" t="s">
        <v>17</v>
      </c>
      <c r="H4" s="14" t="s">
        <v>18</v>
      </c>
      <c r="I4" s="14" t="s">
        <v>13</v>
      </c>
      <c r="J4" s="8"/>
      <c r="K4" s="13"/>
      <c r="L4" s="14"/>
      <c r="M4" s="14"/>
    </row>
    <row r="5">
      <c r="B5" s="16" t="s">
        <v>19</v>
      </c>
      <c r="C5" s="17">
        <v>18.071</v>
      </c>
      <c r="D5" s="8">
        <v>1729.0</v>
      </c>
      <c r="F5" s="12">
        <v>17215.408</v>
      </c>
      <c r="G5" s="14" t="s">
        <v>20</v>
      </c>
      <c r="H5" s="14" t="s">
        <v>21</v>
      </c>
      <c r="I5" s="14" t="s">
        <v>13</v>
      </c>
      <c r="J5" s="12"/>
      <c r="K5" s="14"/>
      <c r="L5" s="14"/>
      <c r="M5" s="14"/>
    </row>
    <row r="6">
      <c r="B6" s="16" t="s">
        <v>22</v>
      </c>
      <c r="C6" s="17">
        <v>10.64</v>
      </c>
      <c r="D6" s="17">
        <v>967.0</v>
      </c>
      <c r="F6" s="8">
        <v>8800.0</v>
      </c>
      <c r="G6" s="13" t="s">
        <v>23</v>
      </c>
      <c r="H6" s="14" t="s">
        <v>24</v>
      </c>
      <c r="I6" s="14" t="s">
        <v>13</v>
      </c>
      <c r="J6" s="8"/>
      <c r="K6" s="13"/>
      <c r="L6" s="14"/>
      <c r="M6" s="14"/>
    </row>
    <row r="7">
      <c r="B7" s="16" t="s">
        <v>25</v>
      </c>
      <c r="C7" s="17">
        <v>6.173</v>
      </c>
      <c r="D7" s="8">
        <v>2724.0</v>
      </c>
      <c r="F7" s="8">
        <v>6680.0</v>
      </c>
      <c r="G7" s="13" t="s">
        <v>26</v>
      </c>
      <c r="H7" s="14" t="s">
        <v>27</v>
      </c>
      <c r="I7" s="14" t="s">
        <v>13</v>
      </c>
      <c r="J7" s="8"/>
      <c r="K7" s="13"/>
      <c r="L7" s="14"/>
      <c r="M7" s="14"/>
    </row>
    <row r="8">
      <c r="B8" s="16" t="s">
        <v>28</v>
      </c>
      <c r="C8" s="17">
        <v>15.274</v>
      </c>
      <c r="D8" s="8">
        <v>1924.0</v>
      </c>
      <c r="F8" s="8">
        <v>7491.0</v>
      </c>
      <c r="G8" s="13" t="s">
        <v>29</v>
      </c>
      <c r="H8" s="14" t="s">
        <v>30</v>
      </c>
      <c r="I8" s="14" t="s">
        <v>13</v>
      </c>
      <c r="J8" s="8"/>
      <c r="K8" s="13"/>
      <c r="L8" s="14"/>
      <c r="M8" s="14"/>
    </row>
    <row r="9">
      <c r="B9" s="16" t="s">
        <v>31</v>
      </c>
      <c r="C9" s="17">
        <v>5.865</v>
      </c>
      <c r="D9" s="8">
        <v>2269.0</v>
      </c>
      <c r="F9" s="12"/>
      <c r="G9" s="13"/>
      <c r="H9" s="14"/>
      <c r="I9" s="14"/>
      <c r="J9" s="12"/>
      <c r="K9" s="13"/>
      <c r="L9" s="14"/>
      <c r="M9" s="14"/>
    </row>
    <row r="10">
      <c r="B10" s="16" t="s">
        <v>32</v>
      </c>
      <c r="C10" s="17">
        <v>15.975</v>
      </c>
      <c r="D10" s="8">
        <v>2871.0</v>
      </c>
      <c r="F10" s="8"/>
      <c r="G10" s="13"/>
      <c r="H10" s="14"/>
      <c r="I10" s="14"/>
      <c r="J10" s="8"/>
      <c r="K10" s="13"/>
      <c r="L10" s="14"/>
      <c r="M10" s="14"/>
    </row>
    <row r="11">
      <c r="B11" s="16" t="s">
        <v>33</v>
      </c>
      <c r="C11" s="17">
        <v>26.986</v>
      </c>
      <c r="D11" s="8">
        <v>2549.0</v>
      </c>
      <c r="F11" s="12"/>
      <c r="G11" s="14"/>
      <c r="H11" s="14"/>
      <c r="I11" s="14"/>
      <c r="J11" s="12"/>
      <c r="K11" s="14"/>
      <c r="L11" s="14"/>
      <c r="M11" s="14"/>
    </row>
    <row r="12">
      <c r="B12" s="16" t="s">
        <v>34</v>
      </c>
      <c r="C12" s="17">
        <v>14.201</v>
      </c>
      <c r="D12" s="8">
        <v>8017.0</v>
      </c>
      <c r="E12" s="18">
        <f>D12+D23</f>
        <v>10689</v>
      </c>
      <c r="F12" s="8"/>
      <c r="G12" s="13"/>
      <c r="H12" s="14"/>
      <c r="I12" s="14"/>
      <c r="J12" s="8"/>
      <c r="K12" s="13"/>
      <c r="L12" s="14"/>
      <c r="M12" s="14"/>
    </row>
    <row r="13">
      <c r="B13" s="16" t="s">
        <v>35</v>
      </c>
      <c r="C13" s="17">
        <v>5.041</v>
      </c>
      <c r="D13" s="8">
        <v>11369.0</v>
      </c>
      <c r="F13" s="8"/>
      <c r="G13" s="13"/>
      <c r="H13" s="14"/>
      <c r="I13" s="14"/>
      <c r="J13" s="8"/>
      <c r="K13" s="13"/>
      <c r="L13" s="14"/>
      <c r="M13" s="14"/>
    </row>
    <row r="14">
      <c r="B14" s="16" t="s">
        <v>36</v>
      </c>
      <c r="C14" s="17">
        <v>14.578</v>
      </c>
      <c r="D14" s="8">
        <v>2561.0</v>
      </c>
      <c r="F14" s="8"/>
      <c r="G14" s="13"/>
      <c r="H14" s="14"/>
      <c r="I14" s="14"/>
      <c r="J14" s="8"/>
      <c r="K14" s="13"/>
      <c r="L14" s="14"/>
      <c r="M14" s="14"/>
    </row>
    <row r="15">
      <c r="B15" s="16" t="s">
        <v>17</v>
      </c>
      <c r="C15" s="17">
        <v>20.571</v>
      </c>
      <c r="D15" s="8">
        <v>6252.0</v>
      </c>
      <c r="E15" s="18">
        <f>D15+D7+D36+D16</f>
        <v>14736</v>
      </c>
    </row>
    <row r="16">
      <c r="B16" s="16" t="s">
        <v>37</v>
      </c>
      <c r="C16" s="17">
        <v>24.391</v>
      </c>
      <c r="D16" s="8">
        <v>3579.0</v>
      </c>
    </row>
    <row r="17">
      <c r="B17" s="16" t="s">
        <v>38</v>
      </c>
      <c r="C17" s="17">
        <v>8.049</v>
      </c>
      <c r="D17" s="8">
        <v>3692.0</v>
      </c>
    </row>
    <row r="18">
      <c r="B18" s="16" t="s">
        <v>39</v>
      </c>
      <c r="C18" s="17">
        <v>23.142</v>
      </c>
      <c r="D18" s="8">
        <v>9643.0</v>
      </c>
    </row>
    <row r="19">
      <c r="B19" s="16" t="s">
        <v>23</v>
      </c>
      <c r="C19" s="17">
        <v>7.096</v>
      </c>
      <c r="D19" s="8">
        <v>8800.0</v>
      </c>
      <c r="E19" s="18">
        <f>D19+D11+D13+D14+D26+D32+D33+D10+D20+E24+E27</f>
        <v>62670</v>
      </c>
    </row>
    <row r="20">
      <c r="B20" s="16" t="s">
        <v>40</v>
      </c>
      <c r="C20" s="17">
        <v>16.957</v>
      </c>
      <c r="D20" s="8">
        <v>2902.0</v>
      </c>
    </row>
    <row r="21">
      <c r="B21" s="16" t="s">
        <v>26</v>
      </c>
      <c r="C21" s="17">
        <v>4.926</v>
      </c>
      <c r="D21" s="8">
        <v>6680.0</v>
      </c>
      <c r="E21" s="18">
        <f>D21+D9+D17+D34+E12</f>
        <v>25418</v>
      </c>
    </row>
    <row r="22">
      <c r="B22" s="16" t="s">
        <v>41</v>
      </c>
      <c r="C22" s="17">
        <v>26.27</v>
      </c>
      <c r="D22" s="8">
        <v>4425.0</v>
      </c>
    </row>
    <row r="23">
      <c r="B23" s="16" t="s">
        <v>42</v>
      </c>
      <c r="C23" s="17">
        <v>27.272</v>
      </c>
      <c r="D23" s="8">
        <v>2672.0</v>
      </c>
    </row>
    <row r="24">
      <c r="B24" s="16" t="s">
        <v>43</v>
      </c>
      <c r="C24" s="17">
        <v>20.835</v>
      </c>
      <c r="D24" s="8">
        <v>3259.0</v>
      </c>
      <c r="E24" s="18">
        <f>D24+D8+D22+D35</f>
        <v>13393</v>
      </c>
    </row>
    <row r="25">
      <c r="B25" s="16" t="s">
        <v>29</v>
      </c>
      <c r="C25" s="17">
        <v>13.601</v>
      </c>
      <c r="D25" s="8">
        <v>7491.0</v>
      </c>
      <c r="E25" s="18">
        <f>D25+D30+D28+D18+D20</f>
        <v>23275</v>
      </c>
    </row>
    <row r="26">
      <c r="B26" s="16" t="s">
        <v>44</v>
      </c>
      <c r="C26" s="17">
        <v>8.625</v>
      </c>
      <c r="D26" s="8">
        <v>1826.0</v>
      </c>
    </row>
    <row r="27">
      <c r="B27" s="16" t="s">
        <v>45</v>
      </c>
      <c r="C27" s="17">
        <v>13.502</v>
      </c>
      <c r="D27" s="8">
        <v>5309.0</v>
      </c>
      <c r="E27" s="18">
        <f>D27+D6+D29+D31</f>
        <v>13252</v>
      </c>
    </row>
    <row r="28">
      <c r="B28" s="16" t="s">
        <v>46</v>
      </c>
      <c r="C28" s="17">
        <v>20.277</v>
      </c>
      <c r="D28" s="8">
        <v>1223.0</v>
      </c>
    </row>
    <row r="29">
      <c r="B29" s="16" t="s">
        <v>47</v>
      </c>
      <c r="C29" s="17">
        <v>18.043</v>
      </c>
      <c r="D29" s="8">
        <v>3422.0</v>
      </c>
    </row>
    <row r="30">
      <c r="B30" s="16" t="s">
        <v>48</v>
      </c>
      <c r="C30" s="17">
        <v>20.928</v>
      </c>
      <c r="D30" s="8">
        <v>2016.0</v>
      </c>
    </row>
    <row r="31">
      <c r="B31" s="16" t="s">
        <v>49</v>
      </c>
      <c r="C31" s="17">
        <v>12.315</v>
      </c>
      <c r="D31" s="8">
        <v>3554.0</v>
      </c>
    </row>
    <row r="32">
      <c r="B32" s="16" t="s">
        <v>50</v>
      </c>
      <c r="C32" s="17">
        <v>10.669</v>
      </c>
      <c r="D32" s="8">
        <v>1169.0</v>
      </c>
    </row>
    <row r="33">
      <c r="B33" s="16" t="s">
        <v>51</v>
      </c>
      <c r="C33" s="17">
        <v>5.803</v>
      </c>
      <c r="D33" s="8">
        <v>1978.0</v>
      </c>
    </row>
    <row r="34">
      <c r="B34" s="16" t="s">
        <v>52</v>
      </c>
      <c r="C34" s="17">
        <v>9.416</v>
      </c>
      <c r="D34" s="8">
        <v>2088.0</v>
      </c>
    </row>
    <row r="35">
      <c r="B35" s="16" t="s">
        <v>53</v>
      </c>
      <c r="C35" s="17">
        <v>10.754</v>
      </c>
      <c r="D35" s="8">
        <v>3785.0</v>
      </c>
    </row>
    <row r="36">
      <c r="B36" s="16" t="s">
        <v>54</v>
      </c>
      <c r="C36" s="17">
        <v>23.65</v>
      </c>
      <c r="D36" s="8">
        <v>2181.0</v>
      </c>
    </row>
    <row r="37">
      <c r="B37" s="19" t="s">
        <v>55</v>
      </c>
      <c r="C37" s="11"/>
      <c r="D37" s="20">
        <f>SUM(D4:D36)</f>
        <v>124926</v>
      </c>
    </row>
  </sheetData>
  <mergeCells count="2">
    <mergeCell ref="B3:D3"/>
    <mergeCell ref="B37:C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30.75"/>
  </cols>
  <sheetData>
    <row r="3">
      <c r="B3" s="21" t="s">
        <v>56</v>
      </c>
      <c r="C3" s="10"/>
      <c r="D3" s="11"/>
      <c r="E3" s="8"/>
      <c r="F3" s="13"/>
      <c r="G3" s="14"/>
      <c r="H3" s="14"/>
    </row>
    <row r="4">
      <c r="B4" s="15" t="s">
        <v>14</v>
      </c>
      <c r="C4" s="15" t="s">
        <v>15</v>
      </c>
      <c r="D4" s="15" t="s">
        <v>16</v>
      </c>
      <c r="E4" s="8"/>
      <c r="F4" s="13"/>
      <c r="G4" s="14"/>
      <c r="H4" s="14"/>
    </row>
    <row r="5">
      <c r="B5" s="16" t="s">
        <v>57</v>
      </c>
      <c r="C5" s="17">
        <v>43.736</v>
      </c>
      <c r="D5" s="22">
        <v>4623.0</v>
      </c>
      <c r="E5" s="8"/>
      <c r="F5" s="13"/>
      <c r="G5" s="14"/>
      <c r="H5" s="14"/>
    </row>
    <row r="6">
      <c r="B6" s="16" t="s">
        <v>58</v>
      </c>
      <c r="C6" s="17">
        <v>8.932</v>
      </c>
      <c r="D6" s="23">
        <v>16518.0</v>
      </c>
      <c r="E6" s="24">
        <f>D6+D16</f>
        <v>21193</v>
      </c>
      <c r="F6" s="13"/>
      <c r="G6" s="14"/>
      <c r="H6" s="14"/>
    </row>
    <row r="7">
      <c r="B7" s="16" t="s">
        <v>59</v>
      </c>
      <c r="C7" s="17">
        <v>15.382</v>
      </c>
      <c r="D7" s="25">
        <v>22620.0</v>
      </c>
      <c r="E7" s="24">
        <f>D7+D8+D9+D17</f>
        <v>47169</v>
      </c>
      <c r="F7" s="13"/>
      <c r="G7" s="14"/>
      <c r="H7" s="14"/>
    </row>
    <row r="8">
      <c r="B8" s="16" t="s">
        <v>60</v>
      </c>
      <c r="C8" s="17">
        <v>31.066</v>
      </c>
      <c r="D8" s="25">
        <v>12496.0</v>
      </c>
      <c r="E8" s="8"/>
      <c r="F8" s="13"/>
      <c r="G8" s="14"/>
      <c r="H8" s="14"/>
    </row>
    <row r="9">
      <c r="B9" s="16" t="s">
        <v>61</v>
      </c>
      <c r="C9" s="17">
        <v>24.878</v>
      </c>
      <c r="D9" s="25">
        <v>7766.0</v>
      </c>
      <c r="E9" s="8"/>
      <c r="F9" s="13"/>
      <c r="G9" s="14"/>
      <c r="H9" s="14"/>
    </row>
    <row r="10">
      <c r="B10" s="16" t="s">
        <v>62</v>
      </c>
      <c r="C10" s="17">
        <v>38.022</v>
      </c>
      <c r="D10" s="26">
        <v>2879.0</v>
      </c>
      <c r="E10" s="8"/>
      <c r="F10" s="13"/>
      <c r="G10" s="14"/>
      <c r="H10" s="14"/>
    </row>
    <row r="11">
      <c r="B11" s="16" t="s">
        <v>63</v>
      </c>
      <c r="C11" s="17">
        <v>3.592</v>
      </c>
      <c r="D11" s="27">
        <v>2010.0</v>
      </c>
      <c r="E11" s="24">
        <f>D11+D12</f>
        <v>3340</v>
      </c>
      <c r="F11" s="14"/>
      <c r="G11" s="14"/>
      <c r="H11" s="14"/>
    </row>
    <row r="12">
      <c r="B12" s="16" t="s">
        <v>64</v>
      </c>
      <c r="C12" s="17">
        <v>3.514</v>
      </c>
      <c r="D12" s="27">
        <v>1330.0</v>
      </c>
      <c r="G12" s="8">
        <v>16518.0</v>
      </c>
      <c r="H12" s="13" t="s">
        <v>58</v>
      </c>
      <c r="I12" s="14" t="s">
        <v>65</v>
      </c>
      <c r="J12" s="14" t="s">
        <v>66</v>
      </c>
    </row>
    <row r="13">
      <c r="B13" s="16" t="s">
        <v>67</v>
      </c>
      <c r="C13" s="17">
        <v>89.228</v>
      </c>
      <c r="D13" s="17">
        <v>208.0</v>
      </c>
      <c r="G13" s="8">
        <v>22620.0</v>
      </c>
      <c r="H13" s="13" t="s">
        <v>59</v>
      </c>
      <c r="I13" s="14" t="s">
        <v>68</v>
      </c>
      <c r="J13" s="14" t="s">
        <v>66</v>
      </c>
    </row>
    <row r="14">
      <c r="B14" s="16" t="s">
        <v>69</v>
      </c>
      <c r="C14" s="17">
        <v>9.204</v>
      </c>
      <c r="D14" s="22">
        <v>4632.0</v>
      </c>
      <c r="E14" s="28">
        <f>D14+D5</f>
        <v>9255</v>
      </c>
      <c r="G14" s="8">
        <v>2879.0</v>
      </c>
      <c r="H14" s="29" t="s">
        <v>62</v>
      </c>
      <c r="I14" s="14" t="s">
        <v>70</v>
      </c>
      <c r="J14" s="14" t="s">
        <v>66</v>
      </c>
    </row>
    <row r="15">
      <c r="B15" s="16" t="s">
        <v>71</v>
      </c>
      <c r="C15" s="17">
        <v>8.186</v>
      </c>
      <c r="D15" s="30">
        <v>6285.0</v>
      </c>
      <c r="G15" s="8">
        <v>2010.0</v>
      </c>
      <c r="H15" s="13" t="s">
        <v>63</v>
      </c>
      <c r="I15" s="14" t="s">
        <v>72</v>
      </c>
      <c r="J15" s="14" t="s">
        <v>66</v>
      </c>
    </row>
    <row r="16">
      <c r="B16" s="16" t="s">
        <v>73</v>
      </c>
      <c r="C16" s="17">
        <v>16.072</v>
      </c>
      <c r="D16" s="23">
        <v>4675.0</v>
      </c>
      <c r="G16" s="8">
        <v>4632.0</v>
      </c>
      <c r="H16" s="13" t="s">
        <v>69</v>
      </c>
      <c r="I16" s="14" t="s">
        <v>74</v>
      </c>
      <c r="J16" s="14" t="s">
        <v>66</v>
      </c>
    </row>
    <row r="17">
      <c r="B17" s="16" t="s">
        <v>75</v>
      </c>
      <c r="C17" s="17">
        <v>13.288</v>
      </c>
      <c r="D17" s="25">
        <v>4287.0</v>
      </c>
      <c r="G17" s="8">
        <v>8377.0</v>
      </c>
      <c r="H17" s="13" t="s">
        <v>76</v>
      </c>
      <c r="I17" s="14" t="s">
        <v>77</v>
      </c>
      <c r="J17" s="14" t="s">
        <v>66</v>
      </c>
    </row>
    <row r="18">
      <c r="B18" s="16" t="s">
        <v>78</v>
      </c>
      <c r="C18" s="17">
        <v>9.821</v>
      </c>
      <c r="D18" s="31">
        <v>11295.0</v>
      </c>
      <c r="E18" s="28">
        <f>D18</f>
        <v>11295</v>
      </c>
      <c r="G18" s="8">
        <v>11295.0</v>
      </c>
      <c r="H18" s="13" t="s">
        <v>78</v>
      </c>
      <c r="I18" s="14" t="s">
        <v>79</v>
      </c>
      <c r="J18" s="14" t="s">
        <v>66</v>
      </c>
    </row>
    <row r="19">
      <c r="B19" s="16" t="s">
        <v>80</v>
      </c>
      <c r="C19" s="17">
        <v>9.238</v>
      </c>
      <c r="D19" s="30">
        <v>4316.0</v>
      </c>
      <c r="E19" s="28">
        <f>D19+D15</f>
        <v>10601</v>
      </c>
      <c r="G19" s="8">
        <v>4316.0</v>
      </c>
      <c r="H19" s="13" t="s">
        <v>80</v>
      </c>
      <c r="I19" s="14" t="s">
        <v>81</v>
      </c>
      <c r="J19" s="14" t="s">
        <v>66</v>
      </c>
    </row>
    <row r="20">
      <c r="B20" s="16" t="s">
        <v>82</v>
      </c>
      <c r="C20" s="17">
        <v>301.356</v>
      </c>
      <c r="D20" s="17">
        <v>3.0</v>
      </c>
      <c r="G20" s="8">
        <v>12523.0</v>
      </c>
      <c r="H20" s="32" t="s">
        <v>83</v>
      </c>
      <c r="I20" s="14" t="s">
        <v>84</v>
      </c>
      <c r="J20" s="14" t="s">
        <v>66</v>
      </c>
    </row>
    <row r="21">
      <c r="B21" s="16" t="s">
        <v>83</v>
      </c>
      <c r="C21" s="17">
        <v>58.425</v>
      </c>
      <c r="D21" s="26">
        <v>12523.0</v>
      </c>
      <c r="E21" s="28">
        <f>D21</f>
        <v>12523</v>
      </c>
    </row>
    <row r="22">
      <c r="B22" s="21" t="s">
        <v>85</v>
      </c>
      <c r="C22" s="10"/>
      <c r="D22" s="11"/>
    </row>
    <row r="23">
      <c r="B23" s="16" t="s">
        <v>67</v>
      </c>
      <c r="C23" s="17">
        <v>73.283</v>
      </c>
      <c r="D23" s="8">
        <v>3105.0</v>
      </c>
    </row>
    <row r="24">
      <c r="B24" s="16" t="s">
        <v>76</v>
      </c>
      <c r="C24" s="17">
        <v>17.383</v>
      </c>
      <c r="D24" s="8">
        <v>8377.0</v>
      </c>
      <c r="E24" s="28">
        <f>D24+D25+D23+D26+D20+D13</f>
        <v>18499</v>
      </c>
    </row>
    <row r="25">
      <c r="B25" s="16" t="s">
        <v>86</v>
      </c>
      <c r="C25" s="17">
        <v>17.646</v>
      </c>
      <c r="D25" s="8">
        <v>3964.0</v>
      </c>
    </row>
    <row r="26">
      <c r="B26" s="16" t="s">
        <v>82</v>
      </c>
      <c r="C26" s="17">
        <v>143.478</v>
      </c>
      <c r="D26" s="8">
        <v>2842.0</v>
      </c>
    </row>
    <row r="27">
      <c r="B27" s="19" t="s">
        <v>55</v>
      </c>
      <c r="C27" s="11"/>
      <c r="D27" s="20">
        <f>SUM(D4:D26)</f>
        <v>136754</v>
      </c>
    </row>
  </sheetData>
  <mergeCells count="3">
    <mergeCell ref="B3:D3"/>
    <mergeCell ref="B22:D22"/>
    <mergeCell ref="B27:C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</cols>
  <sheetData>
    <row r="3">
      <c r="B3" s="19" t="s">
        <v>87</v>
      </c>
      <c r="C3" s="10"/>
      <c r="D3" s="11"/>
    </row>
    <row r="4">
      <c r="B4" s="15" t="s">
        <v>14</v>
      </c>
      <c r="C4" s="15" t="s">
        <v>15</v>
      </c>
      <c r="D4" s="15" t="s">
        <v>16</v>
      </c>
    </row>
    <row r="5">
      <c r="B5" s="16" t="s">
        <v>88</v>
      </c>
      <c r="C5" s="33">
        <v>38.0659911</v>
      </c>
      <c r="D5" s="17">
        <f>ROUNDUP(5782.422,0)</f>
        <v>5783</v>
      </c>
    </row>
    <row r="6">
      <c r="B6" s="16" t="s">
        <v>11</v>
      </c>
      <c r="C6" s="34">
        <v>28.44818921</v>
      </c>
      <c r="D6" s="17">
        <f>ROUNDUP(28495.968,0)</f>
        <v>28496</v>
      </c>
    </row>
    <row r="7">
      <c r="B7" s="16" t="s">
        <v>89</v>
      </c>
      <c r="C7" s="33">
        <v>58.32377686</v>
      </c>
      <c r="D7" s="17">
        <f>ROUNDUP(8539.297,0)</f>
        <v>8540</v>
      </c>
    </row>
    <row r="8">
      <c r="B8" s="16" t="s">
        <v>20</v>
      </c>
      <c r="C8" s="33">
        <v>20.49270945</v>
      </c>
      <c r="D8" s="17">
        <f>ROUNDUP(17215.408,0)</f>
        <v>17216</v>
      </c>
      <c r="E8" s="7">
        <f>D8+D10+D5</f>
        <v>26518</v>
      </c>
    </row>
    <row r="9">
      <c r="B9" s="16" t="s">
        <v>90</v>
      </c>
      <c r="C9" s="33">
        <v>30.51305179</v>
      </c>
      <c r="D9" s="17">
        <f>ROUNDUP(2708.272,0)</f>
        <v>2709</v>
      </c>
    </row>
    <row r="10">
      <c r="B10" s="16" t="s">
        <v>91</v>
      </c>
      <c r="C10" s="33">
        <v>25.32684352</v>
      </c>
      <c r="D10" s="17">
        <f>ROUNDUP(3518.842,0)</f>
        <v>3519</v>
      </c>
    </row>
    <row r="11">
      <c r="B11" s="19" t="s">
        <v>55</v>
      </c>
      <c r="C11" s="11"/>
      <c r="D11" s="33">
        <f>SUM(D5:D10)</f>
        <v>66263</v>
      </c>
    </row>
    <row r="27">
      <c r="D27" s="18">
        <f>Sulawesi!D37+Kalimantan!D27+D11</f>
        <v>327943</v>
      </c>
    </row>
  </sheetData>
  <mergeCells count="2">
    <mergeCell ref="B3:D3"/>
    <mergeCell ref="B11:C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</cols>
  <sheetData>
    <row r="3">
      <c r="B3" s="35" t="s">
        <v>92</v>
      </c>
      <c r="C3" s="35" t="s">
        <v>93</v>
      </c>
      <c r="D3" s="35" t="s">
        <v>94</v>
      </c>
      <c r="E3" s="35" t="s">
        <v>0</v>
      </c>
      <c r="F3" s="35" t="s">
        <v>95</v>
      </c>
      <c r="G3" s="35" t="s">
        <v>96</v>
      </c>
    </row>
    <row r="4">
      <c r="B4" s="36" t="s">
        <v>97</v>
      </c>
      <c r="C4" s="36" t="s">
        <v>12</v>
      </c>
      <c r="D4" s="36" t="s">
        <v>11</v>
      </c>
      <c r="E4" s="36" t="s">
        <v>13</v>
      </c>
      <c r="F4" s="36" t="s">
        <v>6</v>
      </c>
      <c r="G4" s="37">
        <v>1.215E7</v>
      </c>
    </row>
    <row r="5">
      <c r="B5" s="36" t="s">
        <v>97</v>
      </c>
      <c r="C5" s="36" t="s">
        <v>12</v>
      </c>
      <c r="D5" s="36" t="s">
        <v>11</v>
      </c>
      <c r="E5" s="36" t="s">
        <v>13</v>
      </c>
      <c r="F5" s="36" t="s">
        <v>8</v>
      </c>
      <c r="G5" s="37">
        <v>8700000.0</v>
      </c>
    </row>
    <row r="6">
      <c r="B6" s="36" t="s">
        <v>97</v>
      </c>
      <c r="C6" s="36" t="s">
        <v>21</v>
      </c>
      <c r="D6" s="36" t="s">
        <v>20</v>
      </c>
      <c r="E6" s="36" t="s">
        <v>13</v>
      </c>
      <c r="F6" s="36" t="s">
        <v>6</v>
      </c>
      <c r="G6" s="37">
        <v>2.144E7</v>
      </c>
    </row>
    <row r="7">
      <c r="B7" s="36" t="s">
        <v>97</v>
      </c>
      <c r="C7" s="36" t="s">
        <v>21</v>
      </c>
      <c r="D7" s="36" t="s">
        <v>20</v>
      </c>
      <c r="E7" s="36" t="s">
        <v>13</v>
      </c>
      <c r="F7" s="36" t="s">
        <v>8</v>
      </c>
      <c r="G7" s="37">
        <v>1.624E7</v>
      </c>
    </row>
    <row r="8">
      <c r="B8" s="36" t="s">
        <v>97</v>
      </c>
      <c r="C8" s="36" t="s">
        <v>21</v>
      </c>
      <c r="D8" s="36" t="s">
        <v>20</v>
      </c>
      <c r="E8" s="36" t="s">
        <v>13</v>
      </c>
      <c r="F8" s="36" t="s">
        <v>9</v>
      </c>
      <c r="G8" s="37">
        <v>1.21E7</v>
      </c>
    </row>
    <row r="9">
      <c r="B9" s="36" t="s">
        <v>10</v>
      </c>
      <c r="C9" s="36" t="s">
        <v>24</v>
      </c>
      <c r="D9" s="36" t="s">
        <v>23</v>
      </c>
      <c r="E9" s="36" t="s">
        <v>13</v>
      </c>
      <c r="F9" s="36" t="s">
        <v>5</v>
      </c>
      <c r="G9" s="37">
        <v>1.7E7</v>
      </c>
    </row>
    <row r="10">
      <c r="B10" s="36" t="s">
        <v>10</v>
      </c>
      <c r="C10" s="36" t="s">
        <v>18</v>
      </c>
      <c r="D10" s="36" t="s">
        <v>17</v>
      </c>
      <c r="E10" s="36" t="s">
        <v>13</v>
      </c>
      <c r="F10" s="36" t="s">
        <v>5</v>
      </c>
      <c r="G10" s="37">
        <v>2.846E7</v>
      </c>
    </row>
    <row r="11">
      <c r="B11" s="36" t="s">
        <v>10</v>
      </c>
      <c r="C11" s="36" t="s">
        <v>18</v>
      </c>
      <c r="D11" s="36" t="s">
        <v>17</v>
      </c>
      <c r="E11" s="36" t="s">
        <v>13</v>
      </c>
      <c r="F11" s="36" t="s">
        <v>7</v>
      </c>
      <c r="G11" s="37">
        <v>1.72E7</v>
      </c>
    </row>
    <row r="12">
      <c r="B12" s="36" t="s">
        <v>10</v>
      </c>
      <c r="C12" s="36" t="s">
        <v>30</v>
      </c>
      <c r="D12" s="36" t="s">
        <v>29</v>
      </c>
      <c r="E12" s="36" t="s">
        <v>13</v>
      </c>
      <c r="F12" s="36" t="s">
        <v>5</v>
      </c>
      <c r="G12" s="37">
        <v>1.725E7</v>
      </c>
    </row>
    <row r="13">
      <c r="B13" s="36" t="s">
        <v>10</v>
      </c>
      <c r="C13" s="36" t="s">
        <v>30</v>
      </c>
      <c r="D13" s="36" t="s">
        <v>29</v>
      </c>
      <c r="E13" s="36" t="s">
        <v>13</v>
      </c>
      <c r="F13" s="36" t="s">
        <v>7</v>
      </c>
      <c r="G13" s="37">
        <v>1.085E7</v>
      </c>
    </row>
    <row r="14">
      <c r="B14" s="36" t="s">
        <v>10</v>
      </c>
      <c r="C14" s="36" t="s">
        <v>27</v>
      </c>
      <c r="D14" s="36" t="s">
        <v>26</v>
      </c>
      <c r="E14" s="36" t="s">
        <v>13</v>
      </c>
      <c r="F14" s="36" t="s">
        <v>5</v>
      </c>
      <c r="G14" s="37">
        <v>2.19E7</v>
      </c>
    </row>
    <row r="15">
      <c r="B15" s="36" t="s">
        <v>10</v>
      </c>
      <c r="C15" s="36" t="s">
        <v>27</v>
      </c>
      <c r="D15" s="36" t="s">
        <v>26</v>
      </c>
      <c r="E15" s="36" t="s">
        <v>13</v>
      </c>
      <c r="F15" s="36" t="s">
        <v>7</v>
      </c>
      <c r="G15" s="37">
        <v>1.32E7</v>
      </c>
    </row>
    <row r="16">
      <c r="B16" s="36" t="s">
        <v>98</v>
      </c>
      <c r="C16" s="36" t="s">
        <v>65</v>
      </c>
      <c r="D16" s="36" t="s">
        <v>58</v>
      </c>
      <c r="E16" s="36" t="s">
        <v>66</v>
      </c>
      <c r="F16" s="36" t="s">
        <v>5</v>
      </c>
      <c r="G16" s="38">
        <v>1.862887112E7</v>
      </c>
    </row>
    <row r="17">
      <c r="B17" s="36" t="s">
        <v>98</v>
      </c>
      <c r="C17" s="36" t="s">
        <v>65</v>
      </c>
      <c r="D17" s="36" t="s">
        <v>58</v>
      </c>
      <c r="E17" s="36" t="s">
        <v>66</v>
      </c>
      <c r="F17" s="36" t="s">
        <v>7</v>
      </c>
      <c r="G17" s="38">
        <v>9803979.326</v>
      </c>
    </row>
    <row r="18">
      <c r="B18" s="36" t="s">
        <v>98</v>
      </c>
      <c r="C18" s="36" t="s">
        <v>68</v>
      </c>
      <c r="D18" s="36" t="s">
        <v>59</v>
      </c>
      <c r="E18" s="36" t="s">
        <v>66</v>
      </c>
      <c r="F18" s="36" t="s">
        <v>5</v>
      </c>
      <c r="G18" s="38">
        <v>1.433907877E7</v>
      </c>
    </row>
    <row r="19">
      <c r="B19" s="36" t="s">
        <v>98</v>
      </c>
      <c r="C19" s="36" t="s">
        <v>68</v>
      </c>
      <c r="D19" s="36" t="s">
        <v>59</v>
      </c>
      <c r="E19" s="36" t="s">
        <v>66</v>
      </c>
      <c r="F19" s="36" t="s">
        <v>7</v>
      </c>
      <c r="G19" s="38">
        <v>1.134731372E7</v>
      </c>
    </row>
    <row r="20">
      <c r="B20" s="36" t="s">
        <v>98</v>
      </c>
      <c r="C20" s="36" t="s">
        <v>70</v>
      </c>
      <c r="D20" s="36" t="s">
        <v>62</v>
      </c>
      <c r="E20" s="36" t="s">
        <v>66</v>
      </c>
      <c r="F20" s="36" t="s">
        <v>7</v>
      </c>
      <c r="G20" s="38">
        <v>1.507244928E7</v>
      </c>
    </row>
    <row r="21">
      <c r="B21" s="36" t="s">
        <v>98</v>
      </c>
      <c r="C21" s="36" t="s">
        <v>72</v>
      </c>
      <c r="D21" s="36" t="s">
        <v>63</v>
      </c>
      <c r="E21" s="36" t="s">
        <v>66</v>
      </c>
      <c r="F21" s="36" t="s">
        <v>7</v>
      </c>
      <c r="G21" s="38">
        <v>1.797014872E7</v>
      </c>
    </row>
    <row r="22">
      <c r="B22" s="36" t="s">
        <v>98</v>
      </c>
      <c r="C22" s="36" t="s">
        <v>74</v>
      </c>
      <c r="D22" s="36" t="s">
        <v>69</v>
      </c>
      <c r="E22" s="36" t="s">
        <v>66</v>
      </c>
      <c r="F22" s="36" t="s">
        <v>5</v>
      </c>
      <c r="G22" s="38">
        <v>2.29227766E7</v>
      </c>
    </row>
    <row r="23">
      <c r="B23" s="36" t="s">
        <v>98</v>
      </c>
      <c r="C23" s="36" t="s">
        <v>74</v>
      </c>
      <c r="D23" s="36" t="s">
        <v>69</v>
      </c>
      <c r="E23" s="36" t="s">
        <v>66</v>
      </c>
      <c r="F23" s="36" t="s">
        <v>7</v>
      </c>
      <c r="G23" s="38">
        <v>1.393880761E7</v>
      </c>
    </row>
    <row r="24">
      <c r="B24" s="36" t="s">
        <v>98</v>
      </c>
      <c r="C24" s="36" t="s">
        <v>77</v>
      </c>
      <c r="D24" s="36" t="s">
        <v>76</v>
      </c>
      <c r="E24" s="36" t="s">
        <v>66</v>
      </c>
      <c r="F24" s="36" t="s">
        <v>5</v>
      </c>
      <c r="G24" s="38">
        <v>1.728048857E7</v>
      </c>
    </row>
    <row r="25">
      <c r="B25" s="36" t="s">
        <v>98</v>
      </c>
      <c r="C25" s="36" t="s">
        <v>79</v>
      </c>
      <c r="D25" s="36" t="s">
        <v>78</v>
      </c>
      <c r="E25" s="36" t="s">
        <v>66</v>
      </c>
      <c r="F25" s="36" t="s">
        <v>5</v>
      </c>
      <c r="G25" s="37">
        <v>2.2485625E7</v>
      </c>
    </row>
    <row r="26">
      <c r="B26" s="36" t="s">
        <v>98</v>
      </c>
      <c r="C26" s="36" t="s">
        <v>79</v>
      </c>
      <c r="D26" s="36" t="s">
        <v>78</v>
      </c>
      <c r="E26" s="36" t="s">
        <v>66</v>
      </c>
      <c r="F26" s="36" t="s">
        <v>7</v>
      </c>
      <c r="G26" s="37">
        <v>1.0885317E7</v>
      </c>
    </row>
    <row r="27">
      <c r="B27" s="36" t="s">
        <v>98</v>
      </c>
      <c r="C27" s="36" t="s">
        <v>81</v>
      </c>
      <c r="D27" s="36" t="s">
        <v>80</v>
      </c>
      <c r="E27" s="36" t="s">
        <v>66</v>
      </c>
      <c r="F27" s="36" t="s">
        <v>5</v>
      </c>
      <c r="G27" s="38">
        <v>2.529967742E7</v>
      </c>
    </row>
    <row r="28">
      <c r="B28" s="36" t="s">
        <v>98</v>
      </c>
      <c r="C28" s="36" t="s">
        <v>81</v>
      </c>
      <c r="D28" s="36" t="s">
        <v>80</v>
      </c>
      <c r="E28" s="36" t="s">
        <v>66</v>
      </c>
      <c r="F28" s="36" t="s">
        <v>7</v>
      </c>
      <c r="G28" s="38">
        <v>1.367813673E7</v>
      </c>
    </row>
    <row r="29">
      <c r="B29" s="36" t="s">
        <v>98</v>
      </c>
      <c r="C29" s="36" t="s">
        <v>84</v>
      </c>
      <c r="D29" s="36" t="s">
        <v>83</v>
      </c>
      <c r="E29" s="36" t="s">
        <v>66</v>
      </c>
      <c r="F29" s="36" t="s">
        <v>5</v>
      </c>
      <c r="G29" s="38">
        <v>2.813285975E7</v>
      </c>
    </row>
    <row r="30">
      <c r="B30" s="36" t="s">
        <v>98</v>
      </c>
      <c r="C30" s="36" t="s">
        <v>84</v>
      </c>
      <c r="D30" s="36" t="s">
        <v>83</v>
      </c>
      <c r="E30" s="36" t="s">
        <v>66</v>
      </c>
      <c r="F30" s="36" t="s">
        <v>7</v>
      </c>
      <c r="G30" s="38">
        <v>1.617414527E7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9.38"/>
    <col customWidth="1" min="5" max="5" width="12.75"/>
    <col customWidth="1" min="6" max="6" width="18.0"/>
    <col customWidth="1" min="16" max="16" width="20.25"/>
    <col customWidth="1" min="18" max="18" width="20.88"/>
    <col customWidth="1" min="22" max="22" width="24.88"/>
  </cols>
  <sheetData>
    <row r="1">
      <c r="E1" s="3" t="s">
        <v>99</v>
      </c>
      <c r="I1" s="3" t="s">
        <v>100</v>
      </c>
      <c r="N1" s="4" t="s">
        <v>101</v>
      </c>
      <c r="S1" s="1" t="s">
        <v>0</v>
      </c>
      <c r="T1" s="39" t="s">
        <v>1</v>
      </c>
      <c r="U1" s="2" t="s">
        <v>102</v>
      </c>
      <c r="V1" s="2" t="s">
        <v>103</v>
      </c>
      <c r="W1" s="40" t="s">
        <v>104</v>
      </c>
      <c r="Y1" s="41"/>
    </row>
    <row r="2">
      <c r="A2" s="42" t="s">
        <v>105</v>
      </c>
      <c r="B2" s="42" t="s">
        <v>106</v>
      </c>
      <c r="C2" s="42" t="s">
        <v>107</v>
      </c>
      <c r="D2" s="42" t="s">
        <v>108</v>
      </c>
      <c r="E2" s="7" t="str">
        <f t="array" ref="E2:H2">TRANSPOSE(S2:S5)</f>
        <v>CDD</v>
      </c>
      <c r="F2" s="7" t="s">
        <v>109</v>
      </c>
      <c r="G2" s="7" t="s">
        <v>110</v>
      </c>
      <c r="H2" s="7" t="s">
        <v>111</v>
      </c>
      <c r="I2" s="7" t="str">
        <f t="array" ref="I2:L2">TRANSPOSE(S2:S5)</f>
        <v>CDD</v>
      </c>
      <c r="J2" s="7" t="s">
        <v>109</v>
      </c>
      <c r="K2" s="7" t="s">
        <v>110</v>
      </c>
      <c r="L2" s="7" t="s">
        <v>111</v>
      </c>
      <c r="N2" s="4" t="s">
        <v>112</v>
      </c>
      <c r="O2" s="4">
        <v>6800.0</v>
      </c>
      <c r="S2" s="43" t="s">
        <v>9</v>
      </c>
      <c r="T2" s="44">
        <v>280.0</v>
      </c>
      <c r="U2" s="6"/>
      <c r="V2" s="6">
        <v>4.0</v>
      </c>
      <c r="W2" s="45">
        <f>6800/4</f>
        <v>1700</v>
      </c>
      <c r="Y2" s="4" t="s">
        <v>112</v>
      </c>
      <c r="Z2" s="4">
        <v>6800.0</v>
      </c>
    </row>
    <row r="3">
      <c r="N3" s="4" t="s">
        <v>113</v>
      </c>
      <c r="O3" s="4">
        <v>10000.0</v>
      </c>
      <c r="P3" s="4" t="s">
        <v>114</v>
      </c>
      <c r="R3" s="4" t="s">
        <v>115</v>
      </c>
      <c r="S3" s="43" t="s">
        <v>109</v>
      </c>
      <c r="T3" s="44">
        <v>200.0</v>
      </c>
      <c r="U3" s="6"/>
      <c r="V3" s="6">
        <v>7.0</v>
      </c>
      <c r="W3" s="45">
        <f>6800/7</f>
        <v>971.4285714</v>
      </c>
      <c r="Y3" s="4" t="s">
        <v>113</v>
      </c>
      <c r="Z3" s="4">
        <v>10000.0</v>
      </c>
    </row>
    <row r="4">
      <c r="A4" s="46" t="s">
        <v>97</v>
      </c>
      <c r="B4" s="46" t="s">
        <v>20</v>
      </c>
      <c r="C4" s="47" t="s">
        <v>89</v>
      </c>
      <c r="D4" s="48">
        <v>1046.393</v>
      </c>
      <c r="E4" s="49">
        <f>$D$4/$V$2*6800</f>
        <v>1778868.1</v>
      </c>
      <c r="F4" s="49">
        <f>$D$4/$V$3*6800</f>
        <v>1016496.057</v>
      </c>
      <c r="G4" s="49">
        <f>$D$4/$V$4*10000</f>
        <v>1307991.25</v>
      </c>
      <c r="H4" s="49">
        <f>$D$4/$V$5*10000</f>
        <v>1046393</v>
      </c>
      <c r="I4" s="49">
        <f t="shared" ref="I4:I45" si="1">E4/$T$2</f>
        <v>6353.100357</v>
      </c>
      <c r="J4" s="49">
        <f t="shared" ref="J4:J45" si="2">F4/$T$3</f>
        <v>5082.480286</v>
      </c>
      <c r="K4" s="49">
        <f t="shared" ref="K4:K45" si="3">G4/$T$4</f>
        <v>10899.92708</v>
      </c>
      <c r="L4" s="49">
        <f t="shared" ref="L4:L45" si="4">H4/$T$5</f>
        <v>13079.9125</v>
      </c>
      <c r="P4" s="7">
        <f t="shared" ref="P4:P6" si="5">MIN(E4:H4)</f>
        <v>1016496.057</v>
      </c>
      <c r="Q4" s="4" t="s">
        <v>109</v>
      </c>
      <c r="R4" s="7">
        <f t="shared" ref="R4:R6" si="6">MIN(I4:L4)</f>
        <v>5082.480286</v>
      </c>
      <c r="S4" s="43" t="s">
        <v>110</v>
      </c>
      <c r="T4" s="44">
        <v>120.0</v>
      </c>
      <c r="U4" s="6"/>
      <c r="V4" s="6">
        <v>8.0</v>
      </c>
      <c r="W4" s="45">
        <f>10000/4</f>
        <v>2500</v>
      </c>
    </row>
    <row r="5">
      <c r="C5" s="47" t="s">
        <v>90</v>
      </c>
      <c r="D5" s="48">
        <v>924.619</v>
      </c>
      <c r="E5" s="49">
        <f t="shared" ref="E5:E16" si="7">D5/$V$2*6800</f>
        <v>1571852.3</v>
      </c>
      <c r="F5" s="49">
        <f t="shared" ref="F5:F16" si="8">D5/$V$3*6800</f>
        <v>898201.3143</v>
      </c>
      <c r="G5" s="49">
        <f t="shared" ref="G5:G16" si="9">D5/$V$4*10000</f>
        <v>1155773.75</v>
      </c>
      <c r="H5" s="49">
        <f t="shared" ref="H5:H16" si="10">D5/$V$5*10000</f>
        <v>924619</v>
      </c>
      <c r="I5" s="49">
        <f t="shared" si="1"/>
        <v>5613.758214</v>
      </c>
      <c r="J5" s="49">
        <f t="shared" si="2"/>
        <v>4491.006571</v>
      </c>
      <c r="K5" s="49">
        <f t="shared" si="3"/>
        <v>9631.447917</v>
      </c>
      <c r="L5" s="49">
        <f t="shared" si="4"/>
        <v>11557.7375</v>
      </c>
      <c r="P5" s="7">
        <f t="shared" si="5"/>
        <v>898201.3143</v>
      </c>
      <c r="Q5" s="4" t="s">
        <v>109</v>
      </c>
      <c r="R5" s="7">
        <f t="shared" si="6"/>
        <v>4491.006571</v>
      </c>
      <c r="S5" s="43" t="s">
        <v>111</v>
      </c>
      <c r="T5" s="44">
        <v>80.0</v>
      </c>
      <c r="U5" s="6"/>
      <c r="V5" s="6">
        <v>10.0</v>
      </c>
      <c r="W5" s="45">
        <f>10000/10</f>
        <v>1000</v>
      </c>
    </row>
    <row r="6">
      <c r="C6" s="47" t="s">
        <v>91</v>
      </c>
      <c r="D6" s="48">
        <v>179.485</v>
      </c>
      <c r="E6" s="49">
        <f t="shared" si="7"/>
        <v>305124.5</v>
      </c>
      <c r="F6" s="49">
        <f t="shared" si="8"/>
        <v>174356.8571</v>
      </c>
      <c r="G6" s="49">
        <f t="shared" si="9"/>
        <v>224356.25</v>
      </c>
      <c r="H6" s="49">
        <f t="shared" si="10"/>
        <v>179485</v>
      </c>
      <c r="I6" s="49">
        <f t="shared" si="1"/>
        <v>1089.730357</v>
      </c>
      <c r="J6" s="49">
        <f t="shared" si="2"/>
        <v>871.7842857</v>
      </c>
      <c r="K6" s="49">
        <f t="shared" si="3"/>
        <v>1869.635417</v>
      </c>
      <c r="L6" s="49">
        <f t="shared" si="4"/>
        <v>2243.5625</v>
      </c>
      <c r="P6" s="7">
        <f t="shared" si="5"/>
        <v>174356.8571</v>
      </c>
      <c r="Q6" s="4" t="s">
        <v>109</v>
      </c>
      <c r="R6" s="7">
        <f t="shared" si="6"/>
        <v>871.7842857</v>
      </c>
      <c r="S6" s="43" t="s">
        <v>116</v>
      </c>
      <c r="T6" s="44">
        <v>5.0</v>
      </c>
      <c r="U6" s="6"/>
      <c r="V6" s="6">
        <v>15.0</v>
      </c>
      <c r="W6" s="45">
        <f>10000/15</f>
        <v>666.6666667</v>
      </c>
    </row>
    <row r="7">
      <c r="D7" s="50">
        <v>440.971</v>
      </c>
      <c r="E7" s="49">
        <f t="shared" si="7"/>
        <v>749650.7</v>
      </c>
      <c r="F7" s="49">
        <f t="shared" si="8"/>
        <v>428371.8286</v>
      </c>
      <c r="G7" s="49">
        <f t="shared" si="9"/>
        <v>551213.75</v>
      </c>
      <c r="H7" s="49">
        <f t="shared" si="10"/>
        <v>440971</v>
      </c>
      <c r="I7" s="49">
        <f t="shared" si="1"/>
        <v>2677.323929</v>
      </c>
      <c r="J7" s="49">
        <f t="shared" si="2"/>
        <v>2141.859143</v>
      </c>
      <c r="K7" s="49">
        <f t="shared" si="3"/>
        <v>4593.447917</v>
      </c>
      <c r="L7" s="49">
        <f t="shared" si="4"/>
        <v>5512.1375</v>
      </c>
      <c r="S7" s="51" t="s">
        <v>117</v>
      </c>
    </row>
    <row r="8">
      <c r="A8" s="52" t="s">
        <v>98</v>
      </c>
      <c r="B8" s="47" t="s">
        <v>58</v>
      </c>
      <c r="C8" s="47" t="s">
        <v>73</v>
      </c>
      <c r="D8" s="48">
        <v>161.958</v>
      </c>
      <c r="E8" s="49">
        <f t="shared" si="7"/>
        <v>275328.6</v>
      </c>
      <c r="F8" s="49">
        <f t="shared" si="8"/>
        <v>157330.6286</v>
      </c>
      <c r="G8" s="49">
        <f t="shared" si="9"/>
        <v>202447.5</v>
      </c>
      <c r="H8" s="49">
        <f t="shared" si="10"/>
        <v>161958</v>
      </c>
      <c r="I8" s="49">
        <f t="shared" si="1"/>
        <v>983.3164286</v>
      </c>
      <c r="J8" s="49">
        <f t="shared" si="2"/>
        <v>786.6531429</v>
      </c>
      <c r="K8" s="49">
        <f t="shared" si="3"/>
        <v>1687.0625</v>
      </c>
      <c r="L8" s="49">
        <f t="shared" si="4"/>
        <v>2024.475</v>
      </c>
      <c r="P8" s="7">
        <f t="shared" ref="P8:P45" si="11">MIN(E8:H8)</f>
        <v>157330.6286</v>
      </c>
      <c r="Q8" s="4" t="s">
        <v>109</v>
      </c>
      <c r="R8" s="7">
        <f t="shared" ref="R8:R45" si="12">MIN(I8:L8)</f>
        <v>786.6531429</v>
      </c>
    </row>
    <row r="9">
      <c r="A9" s="46" t="s">
        <v>98</v>
      </c>
      <c r="B9" s="46" t="s">
        <v>59</v>
      </c>
      <c r="C9" s="47" t="s">
        <v>60</v>
      </c>
      <c r="D9" s="48">
        <v>144.846</v>
      </c>
      <c r="E9" s="49">
        <f t="shared" si="7"/>
        <v>246238.2</v>
      </c>
      <c r="F9" s="49">
        <f t="shared" si="8"/>
        <v>140707.5429</v>
      </c>
      <c r="G9" s="49">
        <f t="shared" si="9"/>
        <v>181057.5</v>
      </c>
      <c r="H9" s="49">
        <f t="shared" si="10"/>
        <v>144846</v>
      </c>
      <c r="I9" s="49">
        <f t="shared" si="1"/>
        <v>879.4221429</v>
      </c>
      <c r="J9" s="49">
        <f t="shared" si="2"/>
        <v>703.5377143</v>
      </c>
      <c r="K9" s="49">
        <f t="shared" si="3"/>
        <v>1508.8125</v>
      </c>
      <c r="L9" s="49">
        <f t="shared" si="4"/>
        <v>1810.575</v>
      </c>
      <c r="P9" s="7">
        <f t="shared" si="11"/>
        <v>140707.5429</v>
      </c>
      <c r="Q9" s="4" t="s">
        <v>109</v>
      </c>
      <c r="R9" s="7">
        <f t="shared" si="12"/>
        <v>703.5377143</v>
      </c>
    </row>
    <row r="10">
      <c r="C10" s="47" t="s">
        <v>61</v>
      </c>
      <c r="D10" s="48">
        <v>203.111</v>
      </c>
      <c r="E10" s="49">
        <f t="shared" si="7"/>
        <v>345288.7</v>
      </c>
      <c r="F10" s="49">
        <f t="shared" si="8"/>
        <v>197307.8286</v>
      </c>
      <c r="G10" s="49">
        <f t="shared" si="9"/>
        <v>253888.75</v>
      </c>
      <c r="H10" s="49">
        <f t="shared" si="10"/>
        <v>203111</v>
      </c>
      <c r="I10" s="49">
        <f t="shared" si="1"/>
        <v>1233.173929</v>
      </c>
      <c r="J10" s="49">
        <f t="shared" si="2"/>
        <v>986.5391429</v>
      </c>
      <c r="K10" s="49">
        <f t="shared" si="3"/>
        <v>2115.739583</v>
      </c>
      <c r="L10" s="49">
        <f t="shared" si="4"/>
        <v>2538.8875</v>
      </c>
      <c r="P10" s="7">
        <f t="shared" si="11"/>
        <v>197307.8286</v>
      </c>
      <c r="Q10" s="4" t="s">
        <v>109</v>
      </c>
      <c r="R10" s="7">
        <f t="shared" si="12"/>
        <v>986.5391429</v>
      </c>
    </row>
    <row r="11">
      <c r="C11" s="47" t="s">
        <v>75</v>
      </c>
      <c r="D11" s="48">
        <v>94.264</v>
      </c>
      <c r="E11" s="49">
        <f t="shared" si="7"/>
        <v>160248.8</v>
      </c>
      <c r="F11" s="49">
        <f t="shared" si="8"/>
        <v>91570.74286</v>
      </c>
      <c r="G11" s="49">
        <f t="shared" si="9"/>
        <v>117830</v>
      </c>
      <c r="H11" s="49">
        <f t="shared" si="10"/>
        <v>94264</v>
      </c>
      <c r="I11" s="49">
        <f t="shared" si="1"/>
        <v>572.3171429</v>
      </c>
      <c r="J11" s="49">
        <f t="shared" si="2"/>
        <v>457.8537143</v>
      </c>
      <c r="K11" s="49">
        <f t="shared" si="3"/>
        <v>981.9166667</v>
      </c>
      <c r="L11" s="49">
        <f t="shared" si="4"/>
        <v>1178.3</v>
      </c>
      <c r="P11" s="7">
        <f t="shared" si="11"/>
        <v>91570.74286</v>
      </c>
      <c r="Q11" s="4" t="s">
        <v>109</v>
      </c>
      <c r="R11" s="7">
        <f t="shared" si="12"/>
        <v>457.8537143</v>
      </c>
    </row>
    <row r="12">
      <c r="A12" s="46" t="s">
        <v>98</v>
      </c>
      <c r="B12" s="46" t="s">
        <v>63</v>
      </c>
      <c r="C12" s="47" t="s">
        <v>64</v>
      </c>
      <c r="D12" s="48">
        <v>59.2</v>
      </c>
      <c r="E12" s="49">
        <f t="shared" si="7"/>
        <v>100640</v>
      </c>
      <c r="F12" s="49">
        <f t="shared" si="8"/>
        <v>57508.57143</v>
      </c>
      <c r="G12" s="49">
        <f t="shared" si="9"/>
        <v>74000</v>
      </c>
      <c r="H12" s="49">
        <f t="shared" si="10"/>
        <v>59200</v>
      </c>
      <c r="I12" s="49">
        <f t="shared" si="1"/>
        <v>359.4285714</v>
      </c>
      <c r="J12" s="49">
        <f t="shared" si="2"/>
        <v>287.5428571</v>
      </c>
      <c r="K12" s="49">
        <f t="shared" si="3"/>
        <v>616.6666667</v>
      </c>
      <c r="L12" s="49">
        <f t="shared" si="4"/>
        <v>740</v>
      </c>
      <c r="P12" s="7">
        <f t="shared" si="11"/>
        <v>57508.57143</v>
      </c>
      <c r="Q12" s="4" t="s">
        <v>109</v>
      </c>
      <c r="R12" s="7">
        <f t="shared" si="12"/>
        <v>287.5428571</v>
      </c>
    </row>
    <row r="13">
      <c r="A13" s="46" t="s">
        <v>98</v>
      </c>
      <c r="B13" s="46" t="s">
        <v>69</v>
      </c>
      <c r="C13" s="47" t="s">
        <v>118</v>
      </c>
      <c r="D13" s="48">
        <v>343.092</v>
      </c>
      <c r="E13" s="49">
        <f t="shared" si="7"/>
        <v>583256.4</v>
      </c>
      <c r="F13" s="49">
        <f t="shared" si="8"/>
        <v>333289.3714</v>
      </c>
      <c r="G13" s="49">
        <f t="shared" si="9"/>
        <v>428865</v>
      </c>
      <c r="H13" s="49">
        <f t="shared" si="10"/>
        <v>343092</v>
      </c>
      <c r="I13" s="49">
        <f t="shared" si="1"/>
        <v>2083.058571</v>
      </c>
      <c r="J13" s="49">
        <f t="shared" si="2"/>
        <v>1666.446857</v>
      </c>
      <c r="K13" s="49">
        <f t="shared" si="3"/>
        <v>3573.875</v>
      </c>
      <c r="L13" s="49">
        <f t="shared" si="4"/>
        <v>4288.65</v>
      </c>
      <c r="P13" s="7">
        <f t="shared" si="11"/>
        <v>333289.3714</v>
      </c>
      <c r="Q13" s="4" t="s">
        <v>109</v>
      </c>
      <c r="R13" s="7">
        <f t="shared" si="12"/>
        <v>1666.446857</v>
      </c>
    </row>
    <row r="14">
      <c r="A14" s="46" t="s">
        <v>98</v>
      </c>
      <c r="B14" s="46" t="s">
        <v>76</v>
      </c>
      <c r="C14" s="53" t="s">
        <v>67</v>
      </c>
      <c r="D14" s="54">
        <v>352.4</v>
      </c>
      <c r="E14" s="49">
        <f t="shared" si="7"/>
        <v>599080</v>
      </c>
      <c r="F14" s="49">
        <f t="shared" si="8"/>
        <v>342331.4286</v>
      </c>
      <c r="G14" s="49">
        <f t="shared" si="9"/>
        <v>440500</v>
      </c>
      <c r="H14" s="49">
        <f t="shared" si="10"/>
        <v>352400</v>
      </c>
      <c r="I14" s="49">
        <f t="shared" si="1"/>
        <v>2139.571429</v>
      </c>
      <c r="J14" s="49">
        <f t="shared" si="2"/>
        <v>1711.657143</v>
      </c>
      <c r="K14" s="49">
        <f t="shared" si="3"/>
        <v>3670.833333</v>
      </c>
      <c r="L14" s="49">
        <f t="shared" si="4"/>
        <v>4405</v>
      </c>
      <c r="P14" s="7">
        <f t="shared" si="11"/>
        <v>342331.4286</v>
      </c>
      <c r="Q14" s="4" t="s">
        <v>109</v>
      </c>
      <c r="R14" s="7">
        <f t="shared" si="12"/>
        <v>1711.657143</v>
      </c>
    </row>
    <row r="15">
      <c r="C15" s="47" t="s">
        <v>86</v>
      </c>
      <c r="D15" s="48">
        <v>151.0</v>
      </c>
      <c r="E15" s="49">
        <f t="shared" si="7"/>
        <v>256700</v>
      </c>
      <c r="F15" s="49">
        <f t="shared" si="8"/>
        <v>146685.7143</v>
      </c>
      <c r="G15" s="49">
        <f t="shared" si="9"/>
        <v>188750</v>
      </c>
      <c r="H15" s="49">
        <f t="shared" si="10"/>
        <v>151000</v>
      </c>
      <c r="I15" s="49">
        <f t="shared" si="1"/>
        <v>916.7857143</v>
      </c>
      <c r="J15" s="49">
        <f t="shared" si="2"/>
        <v>733.4285714</v>
      </c>
      <c r="K15" s="49">
        <f t="shared" si="3"/>
        <v>1572.916667</v>
      </c>
      <c r="L15" s="49">
        <f t="shared" si="4"/>
        <v>1887.5</v>
      </c>
      <c r="P15" s="7">
        <f t="shared" si="11"/>
        <v>146685.7143</v>
      </c>
      <c r="Q15" s="4" t="s">
        <v>109</v>
      </c>
      <c r="R15" s="7">
        <f t="shared" si="12"/>
        <v>733.4285714</v>
      </c>
    </row>
    <row r="16">
      <c r="C16" s="55" t="s">
        <v>82</v>
      </c>
      <c r="D16" s="54">
        <v>321.0</v>
      </c>
      <c r="E16" s="49">
        <f t="shared" si="7"/>
        <v>545700</v>
      </c>
      <c r="F16" s="49">
        <f t="shared" si="8"/>
        <v>311828.5714</v>
      </c>
      <c r="G16" s="49">
        <f t="shared" si="9"/>
        <v>401250</v>
      </c>
      <c r="H16" s="49">
        <f t="shared" si="10"/>
        <v>321000</v>
      </c>
      <c r="I16" s="49">
        <f t="shared" si="1"/>
        <v>1948.928571</v>
      </c>
      <c r="J16" s="49">
        <f t="shared" si="2"/>
        <v>1559.142857</v>
      </c>
      <c r="K16" s="49">
        <f t="shared" si="3"/>
        <v>3343.75</v>
      </c>
      <c r="L16" s="49">
        <f t="shared" si="4"/>
        <v>4012.5</v>
      </c>
      <c r="P16" s="7">
        <f t="shared" si="11"/>
        <v>311828.5714</v>
      </c>
      <c r="Q16" s="4" t="s">
        <v>109</v>
      </c>
      <c r="R16" s="7">
        <f t="shared" si="12"/>
        <v>1559.142857</v>
      </c>
    </row>
    <row r="17">
      <c r="A17" s="46" t="s">
        <v>98</v>
      </c>
      <c r="B17" s="46" t="s">
        <v>80</v>
      </c>
      <c r="C17" s="47" t="s">
        <v>71</v>
      </c>
      <c r="D17" s="48">
        <v>212.077</v>
      </c>
      <c r="E17" s="49">
        <f>$D$4/$V$2*6800</f>
        <v>1778868.1</v>
      </c>
      <c r="F17" s="49">
        <f>$D$4/$V$3*6800</f>
        <v>1016496.057</v>
      </c>
      <c r="G17" s="49">
        <f>$D$4/$V$4*10000</f>
        <v>1307991.25</v>
      </c>
      <c r="H17" s="49">
        <f>$D$4/$V$5*10000</f>
        <v>1046393</v>
      </c>
      <c r="I17" s="49">
        <f t="shared" si="1"/>
        <v>6353.100357</v>
      </c>
      <c r="J17" s="49">
        <f t="shared" si="2"/>
        <v>5082.480286</v>
      </c>
      <c r="K17" s="49">
        <f t="shared" si="3"/>
        <v>10899.92708</v>
      </c>
      <c r="L17" s="49">
        <f t="shared" si="4"/>
        <v>13079.9125</v>
      </c>
      <c r="P17" s="7">
        <f t="shared" si="11"/>
        <v>1016496.057</v>
      </c>
      <c r="Q17" s="4" t="s">
        <v>109</v>
      </c>
      <c r="R17" s="7">
        <f t="shared" si="12"/>
        <v>5082.480286</v>
      </c>
    </row>
    <row r="18">
      <c r="A18" s="46" t="s">
        <v>10</v>
      </c>
      <c r="B18" s="46" t="s">
        <v>17</v>
      </c>
      <c r="C18" s="47" t="s">
        <v>37</v>
      </c>
      <c r="D18" s="56">
        <v>154.22</v>
      </c>
      <c r="E18" s="49">
        <f t="shared" ref="E18:E45" si="13">D18/$V$2*6800</f>
        <v>262174</v>
      </c>
      <c r="F18" s="49">
        <f t="shared" ref="F18:F45" si="14">D18/$V$3*6800</f>
        <v>149813.7143</v>
      </c>
      <c r="G18" s="49">
        <f t="shared" ref="G18:G45" si="15">D18/$V$4*10000</f>
        <v>192775</v>
      </c>
      <c r="H18" s="49">
        <f t="shared" ref="H18:H45" si="16">D18/$V$5*10000</f>
        <v>154220</v>
      </c>
      <c r="I18" s="49">
        <f t="shared" si="1"/>
        <v>936.3357143</v>
      </c>
      <c r="J18" s="49">
        <f t="shared" si="2"/>
        <v>749.0685714</v>
      </c>
      <c r="K18" s="49">
        <f t="shared" si="3"/>
        <v>1606.458333</v>
      </c>
      <c r="L18" s="49">
        <f t="shared" si="4"/>
        <v>1927.75</v>
      </c>
      <c r="P18" s="7">
        <f t="shared" si="11"/>
        <v>149813.7143</v>
      </c>
      <c r="Q18" s="4" t="s">
        <v>109</v>
      </c>
      <c r="R18" s="7">
        <f t="shared" si="12"/>
        <v>749.0685714</v>
      </c>
    </row>
    <row r="19">
      <c r="C19" s="47" t="s">
        <v>54</v>
      </c>
      <c r="D19" s="56">
        <v>13.78</v>
      </c>
      <c r="E19" s="49">
        <f t="shared" si="13"/>
        <v>23426</v>
      </c>
      <c r="F19" s="49">
        <f t="shared" si="14"/>
        <v>13386.28571</v>
      </c>
      <c r="G19" s="49">
        <f t="shared" si="15"/>
        <v>17225</v>
      </c>
      <c r="H19" s="49">
        <f t="shared" si="16"/>
        <v>13780</v>
      </c>
      <c r="I19" s="49">
        <f t="shared" si="1"/>
        <v>83.66428571</v>
      </c>
      <c r="J19" s="49">
        <f t="shared" si="2"/>
        <v>66.93142857</v>
      </c>
      <c r="K19" s="49">
        <f t="shared" si="3"/>
        <v>143.5416667</v>
      </c>
      <c r="L19" s="49">
        <f t="shared" si="4"/>
        <v>172.25</v>
      </c>
      <c r="P19" s="7">
        <f t="shared" si="11"/>
        <v>13386.28571</v>
      </c>
      <c r="Q19" s="4" t="s">
        <v>109</v>
      </c>
      <c r="R19" s="7">
        <f t="shared" si="12"/>
        <v>66.93142857</v>
      </c>
    </row>
    <row r="20">
      <c r="C20" s="47" t="s">
        <v>119</v>
      </c>
      <c r="D20" s="56">
        <v>275.58</v>
      </c>
      <c r="E20" s="49">
        <f t="shared" si="13"/>
        <v>468486</v>
      </c>
      <c r="F20" s="49">
        <f t="shared" si="14"/>
        <v>267706.2857</v>
      </c>
      <c r="G20" s="49">
        <f t="shared" si="15"/>
        <v>344475</v>
      </c>
      <c r="H20" s="49">
        <f t="shared" si="16"/>
        <v>275580</v>
      </c>
      <c r="I20" s="49">
        <f t="shared" si="1"/>
        <v>1673.164286</v>
      </c>
      <c r="J20" s="49">
        <f t="shared" si="2"/>
        <v>1338.531429</v>
      </c>
      <c r="K20" s="49">
        <f t="shared" si="3"/>
        <v>2870.625</v>
      </c>
      <c r="L20" s="49">
        <f t="shared" si="4"/>
        <v>3444.75</v>
      </c>
      <c r="P20" s="7">
        <f t="shared" si="11"/>
        <v>267706.2857</v>
      </c>
      <c r="Q20" s="4" t="s">
        <v>109</v>
      </c>
      <c r="R20" s="7">
        <f t="shared" si="12"/>
        <v>1338.531429</v>
      </c>
    </row>
    <row r="21">
      <c r="A21" s="46" t="s">
        <v>10</v>
      </c>
      <c r="B21" s="46" t="s">
        <v>26</v>
      </c>
      <c r="C21" s="47" t="s">
        <v>19</v>
      </c>
      <c r="D21" s="57">
        <v>55.4</v>
      </c>
      <c r="E21" s="49">
        <f t="shared" si="13"/>
        <v>94180</v>
      </c>
      <c r="F21" s="49">
        <f t="shared" si="14"/>
        <v>53817.14286</v>
      </c>
      <c r="G21" s="49">
        <f t="shared" si="15"/>
        <v>69250</v>
      </c>
      <c r="H21" s="49">
        <f t="shared" si="16"/>
        <v>55400</v>
      </c>
      <c r="I21" s="49">
        <f t="shared" si="1"/>
        <v>336.3571429</v>
      </c>
      <c r="J21" s="49">
        <f t="shared" si="2"/>
        <v>269.0857143</v>
      </c>
      <c r="K21" s="49">
        <f t="shared" si="3"/>
        <v>577.0833333</v>
      </c>
      <c r="L21" s="49">
        <f t="shared" si="4"/>
        <v>692.5</v>
      </c>
      <c r="P21" s="7">
        <f t="shared" si="11"/>
        <v>53817.14286</v>
      </c>
      <c r="Q21" s="4" t="s">
        <v>109</v>
      </c>
      <c r="R21" s="7">
        <f t="shared" si="12"/>
        <v>269.0857143</v>
      </c>
    </row>
    <row r="22">
      <c r="C22" s="58" t="s">
        <v>31</v>
      </c>
      <c r="D22" s="54">
        <v>47.8</v>
      </c>
      <c r="E22" s="49">
        <f t="shared" si="13"/>
        <v>81260</v>
      </c>
      <c r="F22" s="49">
        <f t="shared" si="14"/>
        <v>46434.28571</v>
      </c>
      <c r="G22" s="49">
        <f t="shared" si="15"/>
        <v>59750</v>
      </c>
      <c r="H22" s="49">
        <f t="shared" si="16"/>
        <v>47800</v>
      </c>
      <c r="I22" s="49">
        <f t="shared" si="1"/>
        <v>290.2142857</v>
      </c>
      <c r="J22" s="49">
        <f t="shared" si="2"/>
        <v>232.1714286</v>
      </c>
      <c r="K22" s="49">
        <f t="shared" si="3"/>
        <v>497.9166667</v>
      </c>
      <c r="L22" s="49">
        <f t="shared" si="4"/>
        <v>597.5</v>
      </c>
      <c r="P22" s="7">
        <f t="shared" si="11"/>
        <v>46434.28571</v>
      </c>
      <c r="Q22" s="4" t="s">
        <v>109</v>
      </c>
      <c r="R22" s="7">
        <f t="shared" si="12"/>
        <v>232.1714286</v>
      </c>
    </row>
    <row r="23">
      <c r="C23" s="47" t="s">
        <v>38</v>
      </c>
      <c r="D23" s="56">
        <v>170.45</v>
      </c>
      <c r="E23" s="49">
        <f t="shared" si="13"/>
        <v>289765</v>
      </c>
      <c r="F23" s="49">
        <f t="shared" si="14"/>
        <v>165580</v>
      </c>
      <c r="G23" s="49">
        <f t="shared" si="15"/>
        <v>213062.5</v>
      </c>
      <c r="H23" s="49">
        <f t="shared" si="16"/>
        <v>170450</v>
      </c>
      <c r="I23" s="49">
        <f t="shared" si="1"/>
        <v>1034.875</v>
      </c>
      <c r="J23" s="49">
        <f t="shared" si="2"/>
        <v>827.9</v>
      </c>
      <c r="K23" s="49">
        <f t="shared" si="3"/>
        <v>1775.520833</v>
      </c>
      <c r="L23" s="49">
        <f t="shared" si="4"/>
        <v>2130.625</v>
      </c>
      <c r="P23" s="7">
        <f t="shared" si="11"/>
        <v>165580</v>
      </c>
      <c r="Q23" s="4" t="s">
        <v>109</v>
      </c>
      <c r="R23" s="7">
        <f t="shared" si="12"/>
        <v>827.9</v>
      </c>
    </row>
    <row r="24">
      <c r="C24" s="47" t="s">
        <v>52</v>
      </c>
      <c r="D24" s="56">
        <v>35.19</v>
      </c>
      <c r="E24" s="49">
        <f t="shared" si="13"/>
        <v>59823</v>
      </c>
      <c r="F24" s="49">
        <f t="shared" si="14"/>
        <v>34184.57143</v>
      </c>
      <c r="G24" s="49">
        <f t="shared" si="15"/>
        <v>43987.5</v>
      </c>
      <c r="H24" s="49">
        <f t="shared" si="16"/>
        <v>35190</v>
      </c>
      <c r="I24" s="49">
        <f t="shared" si="1"/>
        <v>213.6535714</v>
      </c>
      <c r="J24" s="49">
        <f t="shared" si="2"/>
        <v>170.9228571</v>
      </c>
      <c r="K24" s="49">
        <f t="shared" si="3"/>
        <v>366.5625</v>
      </c>
      <c r="L24" s="49">
        <f t="shared" si="4"/>
        <v>439.875</v>
      </c>
      <c r="P24" s="7">
        <f t="shared" si="11"/>
        <v>34184.57143</v>
      </c>
      <c r="Q24" s="4" t="s">
        <v>109</v>
      </c>
      <c r="R24" s="7">
        <f t="shared" si="12"/>
        <v>170.9228571</v>
      </c>
    </row>
    <row r="25">
      <c r="A25" s="46"/>
      <c r="B25" s="46"/>
      <c r="C25" s="59" t="s">
        <v>34</v>
      </c>
      <c r="D25" s="60">
        <v>396.91</v>
      </c>
      <c r="E25" s="49">
        <f t="shared" si="13"/>
        <v>674747</v>
      </c>
      <c r="F25" s="49">
        <f t="shared" si="14"/>
        <v>385569.7143</v>
      </c>
      <c r="G25" s="49">
        <f t="shared" si="15"/>
        <v>496137.5</v>
      </c>
      <c r="H25" s="49">
        <f t="shared" si="16"/>
        <v>396910</v>
      </c>
      <c r="I25" s="49">
        <f t="shared" si="1"/>
        <v>2409.810714</v>
      </c>
      <c r="J25" s="49">
        <f t="shared" si="2"/>
        <v>1927.848571</v>
      </c>
      <c r="K25" s="49">
        <f t="shared" si="3"/>
        <v>4134.479167</v>
      </c>
      <c r="L25" s="49">
        <f t="shared" si="4"/>
        <v>4961.375</v>
      </c>
      <c r="P25" s="7">
        <f t="shared" si="11"/>
        <v>385569.7143</v>
      </c>
      <c r="Q25" s="4" t="s">
        <v>109</v>
      </c>
      <c r="R25" s="7">
        <f t="shared" si="12"/>
        <v>1927.848571</v>
      </c>
    </row>
    <row r="26">
      <c r="A26" s="46" t="s">
        <v>10</v>
      </c>
      <c r="B26" s="46" t="s">
        <v>23</v>
      </c>
      <c r="C26" s="47" t="s">
        <v>33</v>
      </c>
      <c r="D26" s="56">
        <v>200.0</v>
      </c>
      <c r="E26" s="49">
        <f t="shared" si="13"/>
        <v>340000</v>
      </c>
      <c r="F26" s="49">
        <f t="shared" si="14"/>
        <v>194285.7143</v>
      </c>
      <c r="G26" s="49">
        <f t="shared" si="15"/>
        <v>250000</v>
      </c>
      <c r="H26" s="49">
        <f t="shared" si="16"/>
        <v>200000</v>
      </c>
      <c r="I26" s="49">
        <f t="shared" si="1"/>
        <v>1214.285714</v>
      </c>
      <c r="J26" s="49">
        <f t="shared" si="2"/>
        <v>971.4285714</v>
      </c>
      <c r="K26" s="49">
        <f t="shared" si="3"/>
        <v>2083.333333</v>
      </c>
      <c r="L26" s="49">
        <f t="shared" si="4"/>
        <v>2500</v>
      </c>
      <c r="P26" s="7">
        <f t="shared" si="11"/>
        <v>194285.7143</v>
      </c>
      <c r="Q26" s="4" t="s">
        <v>109</v>
      </c>
      <c r="R26" s="7">
        <f t="shared" si="12"/>
        <v>971.4285714</v>
      </c>
    </row>
    <row r="27">
      <c r="C27" s="47" t="s">
        <v>35</v>
      </c>
      <c r="D27" s="56">
        <v>16.37</v>
      </c>
      <c r="E27" s="49">
        <f t="shared" si="13"/>
        <v>27829</v>
      </c>
      <c r="F27" s="49">
        <f t="shared" si="14"/>
        <v>15902.28571</v>
      </c>
      <c r="G27" s="49">
        <f t="shared" si="15"/>
        <v>20462.5</v>
      </c>
      <c r="H27" s="49">
        <f t="shared" si="16"/>
        <v>16370</v>
      </c>
      <c r="I27" s="49">
        <f t="shared" si="1"/>
        <v>99.38928571</v>
      </c>
      <c r="J27" s="49">
        <f t="shared" si="2"/>
        <v>79.51142857</v>
      </c>
      <c r="K27" s="49">
        <f t="shared" si="3"/>
        <v>170.5208333</v>
      </c>
      <c r="L27" s="49">
        <f t="shared" si="4"/>
        <v>204.625</v>
      </c>
      <c r="P27" s="7">
        <f t="shared" si="11"/>
        <v>15902.28571</v>
      </c>
      <c r="Q27" s="4" t="s">
        <v>109</v>
      </c>
      <c r="R27" s="7">
        <f t="shared" si="12"/>
        <v>79.51142857</v>
      </c>
    </row>
    <row r="28">
      <c r="C28" s="47" t="s">
        <v>36</v>
      </c>
      <c r="D28" s="56">
        <v>97.42</v>
      </c>
      <c r="E28" s="49">
        <f t="shared" si="13"/>
        <v>165614</v>
      </c>
      <c r="F28" s="49">
        <f t="shared" si="14"/>
        <v>94636.57143</v>
      </c>
      <c r="G28" s="49">
        <f t="shared" si="15"/>
        <v>121775</v>
      </c>
      <c r="H28" s="49">
        <f t="shared" si="16"/>
        <v>97420</v>
      </c>
      <c r="I28" s="49">
        <f t="shared" si="1"/>
        <v>591.4785714</v>
      </c>
      <c r="J28" s="49">
        <f t="shared" si="2"/>
        <v>473.1828571</v>
      </c>
      <c r="K28" s="49">
        <f t="shared" si="3"/>
        <v>1014.791667</v>
      </c>
      <c r="L28" s="49">
        <f t="shared" si="4"/>
        <v>1217.75</v>
      </c>
      <c r="P28" s="7">
        <f t="shared" si="11"/>
        <v>94636.57143</v>
      </c>
      <c r="Q28" s="4" t="s">
        <v>109</v>
      </c>
      <c r="R28" s="7">
        <f t="shared" si="12"/>
        <v>473.1828571</v>
      </c>
    </row>
    <row r="29">
      <c r="C29" s="47" t="s">
        <v>44</v>
      </c>
      <c r="D29" s="56">
        <v>55.23</v>
      </c>
      <c r="E29" s="49">
        <f t="shared" si="13"/>
        <v>93891</v>
      </c>
      <c r="F29" s="49">
        <f t="shared" si="14"/>
        <v>53652</v>
      </c>
      <c r="G29" s="49">
        <f t="shared" si="15"/>
        <v>69037.5</v>
      </c>
      <c r="H29" s="49">
        <f t="shared" si="16"/>
        <v>55230</v>
      </c>
      <c r="I29" s="49">
        <f t="shared" si="1"/>
        <v>335.325</v>
      </c>
      <c r="J29" s="49">
        <f t="shared" si="2"/>
        <v>268.26</v>
      </c>
      <c r="K29" s="49">
        <f t="shared" si="3"/>
        <v>575.3125</v>
      </c>
      <c r="L29" s="49">
        <f t="shared" si="4"/>
        <v>690.375</v>
      </c>
      <c r="P29" s="7">
        <f t="shared" si="11"/>
        <v>53652</v>
      </c>
      <c r="Q29" s="4" t="s">
        <v>109</v>
      </c>
      <c r="R29" s="7">
        <f t="shared" si="12"/>
        <v>268.26</v>
      </c>
    </row>
    <row r="30">
      <c r="C30" s="47" t="s">
        <v>51</v>
      </c>
      <c r="D30" s="56">
        <v>41.33</v>
      </c>
      <c r="E30" s="49">
        <f t="shared" si="13"/>
        <v>70261</v>
      </c>
      <c r="F30" s="49">
        <f t="shared" si="14"/>
        <v>40149.14286</v>
      </c>
      <c r="G30" s="49">
        <f t="shared" si="15"/>
        <v>51662.5</v>
      </c>
      <c r="H30" s="49">
        <f t="shared" si="16"/>
        <v>41330</v>
      </c>
      <c r="I30" s="49">
        <f t="shared" si="1"/>
        <v>250.9321429</v>
      </c>
      <c r="J30" s="49">
        <f t="shared" si="2"/>
        <v>200.7457143</v>
      </c>
      <c r="K30" s="49">
        <f t="shared" si="3"/>
        <v>430.5208333</v>
      </c>
      <c r="L30" s="49">
        <f t="shared" si="4"/>
        <v>516.625</v>
      </c>
      <c r="P30" s="7">
        <f t="shared" si="11"/>
        <v>40149.14286</v>
      </c>
      <c r="Q30" s="4" t="s">
        <v>109</v>
      </c>
      <c r="R30" s="7">
        <f t="shared" si="12"/>
        <v>200.7457143</v>
      </c>
    </row>
    <row r="31">
      <c r="C31" s="47" t="s">
        <v>32</v>
      </c>
      <c r="D31" s="56">
        <v>194.85</v>
      </c>
      <c r="E31" s="49">
        <f t="shared" si="13"/>
        <v>331245</v>
      </c>
      <c r="F31" s="49">
        <f t="shared" si="14"/>
        <v>189282.8571</v>
      </c>
      <c r="G31" s="49">
        <f t="shared" si="15"/>
        <v>243562.5</v>
      </c>
      <c r="H31" s="49">
        <f t="shared" si="16"/>
        <v>194850</v>
      </c>
      <c r="I31" s="49">
        <f t="shared" si="1"/>
        <v>1183.017857</v>
      </c>
      <c r="J31" s="49">
        <f t="shared" si="2"/>
        <v>946.4142857</v>
      </c>
      <c r="K31" s="49">
        <f t="shared" si="3"/>
        <v>2029.6875</v>
      </c>
      <c r="L31" s="49">
        <f t="shared" si="4"/>
        <v>2435.625</v>
      </c>
      <c r="P31" s="7">
        <f t="shared" si="11"/>
        <v>189282.8571</v>
      </c>
      <c r="Q31" s="4" t="s">
        <v>109</v>
      </c>
      <c r="R31" s="7">
        <f t="shared" si="12"/>
        <v>946.4142857</v>
      </c>
    </row>
    <row r="32">
      <c r="C32" s="47" t="s">
        <v>43</v>
      </c>
      <c r="D32" s="56">
        <v>375.38</v>
      </c>
      <c r="E32" s="49">
        <f t="shared" si="13"/>
        <v>638146</v>
      </c>
      <c r="F32" s="49">
        <f t="shared" si="14"/>
        <v>364654.8571</v>
      </c>
      <c r="G32" s="49">
        <f t="shared" si="15"/>
        <v>469225</v>
      </c>
      <c r="H32" s="49">
        <f t="shared" si="16"/>
        <v>375380</v>
      </c>
      <c r="I32" s="49">
        <f t="shared" si="1"/>
        <v>2279.092857</v>
      </c>
      <c r="J32" s="49">
        <f t="shared" si="2"/>
        <v>1823.274286</v>
      </c>
      <c r="K32" s="49">
        <f t="shared" si="3"/>
        <v>3910.208333</v>
      </c>
      <c r="L32" s="49">
        <f t="shared" si="4"/>
        <v>4692.25</v>
      </c>
      <c r="P32" s="7">
        <f t="shared" si="11"/>
        <v>364654.8571</v>
      </c>
      <c r="Q32" s="4" t="s">
        <v>109</v>
      </c>
      <c r="R32" s="7">
        <f t="shared" si="12"/>
        <v>1823.274286</v>
      </c>
    </row>
    <row r="33">
      <c r="C33" s="61" t="s">
        <v>45</v>
      </c>
      <c r="D33" s="56">
        <v>162.64</v>
      </c>
      <c r="E33" s="49">
        <f t="shared" si="13"/>
        <v>276488</v>
      </c>
      <c r="F33" s="49">
        <f t="shared" si="14"/>
        <v>157993.1429</v>
      </c>
      <c r="G33" s="49">
        <f t="shared" si="15"/>
        <v>203300</v>
      </c>
      <c r="H33" s="49">
        <f t="shared" si="16"/>
        <v>162640</v>
      </c>
      <c r="I33" s="49">
        <f t="shared" si="1"/>
        <v>987.4571429</v>
      </c>
      <c r="J33" s="49">
        <f t="shared" si="2"/>
        <v>789.9657143</v>
      </c>
      <c r="K33" s="49">
        <f t="shared" si="3"/>
        <v>1694.166667</v>
      </c>
      <c r="L33" s="49">
        <f t="shared" si="4"/>
        <v>2033</v>
      </c>
      <c r="P33" s="7">
        <f t="shared" si="11"/>
        <v>157993.1429</v>
      </c>
      <c r="Q33" s="4" t="s">
        <v>109</v>
      </c>
      <c r="R33" s="7">
        <f t="shared" si="12"/>
        <v>789.9657143</v>
      </c>
    </row>
    <row r="34">
      <c r="C34" s="47" t="s">
        <v>50</v>
      </c>
      <c r="D34" s="62">
        <v>224.38</v>
      </c>
      <c r="E34" s="49">
        <f t="shared" si="13"/>
        <v>381446</v>
      </c>
      <c r="F34" s="49">
        <f t="shared" si="14"/>
        <v>217969.1429</v>
      </c>
      <c r="G34" s="49">
        <f t="shared" si="15"/>
        <v>280475</v>
      </c>
      <c r="H34" s="49">
        <f t="shared" si="16"/>
        <v>224380</v>
      </c>
      <c r="I34" s="49">
        <f t="shared" si="1"/>
        <v>1362.307143</v>
      </c>
      <c r="J34" s="49">
        <f t="shared" si="2"/>
        <v>1089.845714</v>
      </c>
      <c r="K34" s="49">
        <f t="shared" si="3"/>
        <v>2337.291667</v>
      </c>
      <c r="L34" s="49">
        <f t="shared" si="4"/>
        <v>2804.75</v>
      </c>
      <c r="P34" s="7">
        <f t="shared" si="11"/>
        <v>217969.1429</v>
      </c>
      <c r="Q34" s="4" t="s">
        <v>109</v>
      </c>
      <c r="R34" s="7">
        <f t="shared" si="12"/>
        <v>1089.845714</v>
      </c>
    </row>
    <row r="35">
      <c r="A35" s="46" t="s">
        <v>10</v>
      </c>
      <c r="B35" s="46" t="s">
        <v>29</v>
      </c>
      <c r="C35" s="47" t="s">
        <v>46</v>
      </c>
      <c r="D35" s="56">
        <v>71.72</v>
      </c>
      <c r="E35" s="49">
        <f t="shared" si="13"/>
        <v>121924</v>
      </c>
      <c r="F35" s="49">
        <f t="shared" si="14"/>
        <v>69670.85714</v>
      </c>
      <c r="G35" s="49">
        <f t="shared" si="15"/>
        <v>89650</v>
      </c>
      <c r="H35" s="49">
        <f t="shared" si="16"/>
        <v>71720</v>
      </c>
      <c r="I35" s="49">
        <f t="shared" si="1"/>
        <v>435.4428571</v>
      </c>
      <c r="J35" s="49">
        <f t="shared" si="2"/>
        <v>348.3542857</v>
      </c>
      <c r="K35" s="49">
        <f t="shared" si="3"/>
        <v>747.0833333</v>
      </c>
      <c r="L35" s="49">
        <f t="shared" si="4"/>
        <v>896.5</v>
      </c>
      <c r="P35" s="7">
        <f t="shared" si="11"/>
        <v>69670.85714</v>
      </c>
      <c r="Q35" s="4" t="s">
        <v>109</v>
      </c>
      <c r="R35" s="7">
        <f t="shared" si="12"/>
        <v>348.3542857</v>
      </c>
    </row>
    <row r="36">
      <c r="C36" s="47" t="s">
        <v>39</v>
      </c>
      <c r="D36" s="56">
        <v>589.5</v>
      </c>
      <c r="E36" s="49">
        <f t="shared" si="13"/>
        <v>1002150</v>
      </c>
      <c r="F36" s="49">
        <f t="shared" si="14"/>
        <v>572657.1429</v>
      </c>
      <c r="G36" s="49">
        <f t="shared" si="15"/>
        <v>736875</v>
      </c>
      <c r="H36" s="49">
        <f t="shared" si="16"/>
        <v>589500</v>
      </c>
      <c r="I36" s="49">
        <f t="shared" si="1"/>
        <v>3579.107143</v>
      </c>
      <c r="J36" s="49">
        <f t="shared" si="2"/>
        <v>2863.285714</v>
      </c>
      <c r="K36" s="49">
        <f t="shared" si="3"/>
        <v>6140.625</v>
      </c>
      <c r="L36" s="49">
        <f t="shared" si="4"/>
        <v>7368.75</v>
      </c>
      <c r="P36" s="7">
        <f t="shared" si="11"/>
        <v>572657.1429</v>
      </c>
      <c r="Q36" s="4" t="s">
        <v>109</v>
      </c>
      <c r="R36" s="7">
        <f t="shared" si="12"/>
        <v>2863.285714</v>
      </c>
    </row>
    <row r="37">
      <c r="C37" s="47" t="s">
        <v>40</v>
      </c>
      <c r="D37" s="56">
        <v>406.82</v>
      </c>
      <c r="E37" s="49">
        <f t="shared" si="13"/>
        <v>691594</v>
      </c>
      <c r="F37" s="49">
        <f t="shared" si="14"/>
        <v>395196.5714</v>
      </c>
      <c r="G37" s="49">
        <f t="shared" si="15"/>
        <v>508525</v>
      </c>
      <c r="H37" s="49">
        <f t="shared" si="16"/>
        <v>406820</v>
      </c>
      <c r="I37" s="49">
        <f t="shared" si="1"/>
        <v>2469.978571</v>
      </c>
      <c r="J37" s="49">
        <f t="shared" si="2"/>
        <v>1975.982857</v>
      </c>
      <c r="K37" s="49">
        <f t="shared" si="3"/>
        <v>4237.708333</v>
      </c>
      <c r="L37" s="49">
        <f t="shared" si="4"/>
        <v>5085.25</v>
      </c>
      <c r="P37" s="7">
        <f t="shared" si="11"/>
        <v>395196.5714</v>
      </c>
      <c r="Q37" s="4" t="s">
        <v>109</v>
      </c>
      <c r="R37" s="7">
        <f t="shared" si="12"/>
        <v>1975.982857</v>
      </c>
    </row>
    <row r="38">
      <c r="C38" s="61" t="s">
        <v>48</v>
      </c>
      <c r="D38" s="56">
        <v>206.67</v>
      </c>
      <c r="E38" s="49">
        <f t="shared" si="13"/>
        <v>351339</v>
      </c>
      <c r="F38" s="49">
        <f t="shared" si="14"/>
        <v>200765.1429</v>
      </c>
      <c r="G38" s="49">
        <f t="shared" si="15"/>
        <v>258337.5</v>
      </c>
      <c r="H38" s="49">
        <f t="shared" si="16"/>
        <v>206670</v>
      </c>
      <c r="I38" s="49">
        <f t="shared" si="1"/>
        <v>1254.782143</v>
      </c>
      <c r="J38" s="49">
        <f t="shared" si="2"/>
        <v>1003.825714</v>
      </c>
      <c r="K38" s="49">
        <f t="shared" si="3"/>
        <v>2152.8125</v>
      </c>
      <c r="L38" s="49">
        <f t="shared" si="4"/>
        <v>2583.375</v>
      </c>
      <c r="P38" s="7">
        <f t="shared" si="11"/>
        <v>200765.1429</v>
      </c>
      <c r="Q38" s="4" t="s">
        <v>109</v>
      </c>
      <c r="R38" s="7">
        <f t="shared" si="12"/>
        <v>1003.825714</v>
      </c>
    </row>
    <row r="39">
      <c r="A39" s="46" t="s">
        <v>10</v>
      </c>
      <c r="B39" s="46" t="s">
        <v>34</v>
      </c>
      <c r="C39" s="47" t="s">
        <v>120</v>
      </c>
      <c r="D39" s="56">
        <v>134.66</v>
      </c>
      <c r="E39" s="49">
        <f t="shared" si="13"/>
        <v>228922</v>
      </c>
      <c r="F39" s="49">
        <f t="shared" si="14"/>
        <v>130812.5714</v>
      </c>
      <c r="G39" s="49">
        <f t="shared" si="15"/>
        <v>168325</v>
      </c>
      <c r="H39" s="49">
        <f t="shared" si="16"/>
        <v>134660</v>
      </c>
      <c r="I39" s="49">
        <f t="shared" si="1"/>
        <v>817.5785714</v>
      </c>
      <c r="J39" s="49">
        <f t="shared" si="2"/>
        <v>654.0628571</v>
      </c>
      <c r="K39" s="49">
        <f t="shared" si="3"/>
        <v>1402.708333</v>
      </c>
      <c r="L39" s="49">
        <f t="shared" si="4"/>
        <v>1683.25</v>
      </c>
      <c r="P39" s="7">
        <f t="shared" si="11"/>
        <v>130812.5714</v>
      </c>
      <c r="Q39" s="4" t="s">
        <v>109</v>
      </c>
      <c r="R39" s="7">
        <f t="shared" si="12"/>
        <v>654.0628571</v>
      </c>
    </row>
    <row r="40">
      <c r="A40" s="46" t="s">
        <v>10</v>
      </c>
      <c r="B40" s="46" t="s">
        <v>43</v>
      </c>
      <c r="C40" s="47" t="s">
        <v>28</v>
      </c>
      <c r="D40" s="56">
        <v>49.98</v>
      </c>
      <c r="E40" s="49">
        <f t="shared" si="13"/>
        <v>84966</v>
      </c>
      <c r="F40" s="49">
        <f t="shared" si="14"/>
        <v>48552</v>
      </c>
      <c r="G40" s="49">
        <f t="shared" si="15"/>
        <v>62475</v>
      </c>
      <c r="H40" s="49">
        <f t="shared" si="16"/>
        <v>49980</v>
      </c>
      <c r="I40" s="49">
        <f t="shared" si="1"/>
        <v>303.45</v>
      </c>
      <c r="J40" s="49">
        <f t="shared" si="2"/>
        <v>242.76</v>
      </c>
      <c r="K40" s="49">
        <f t="shared" si="3"/>
        <v>520.625</v>
      </c>
      <c r="L40" s="49">
        <f t="shared" si="4"/>
        <v>624.75</v>
      </c>
      <c r="P40" s="7">
        <f t="shared" si="11"/>
        <v>48552</v>
      </c>
      <c r="Q40" s="4" t="s">
        <v>109</v>
      </c>
      <c r="R40" s="7">
        <f t="shared" si="12"/>
        <v>242.76</v>
      </c>
    </row>
    <row r="41">
      <c r="C41" s="63" t="s">
        <v>41</v>
      </c>
      <c r="D41" s="62">
        <v>138.45</v>
      </c>
      <c r="E41" s="49">
        <f t="shared" si="13"/>
        <v>235365</v>
      </c>
      <c r="F41" s="49">
        <f t="shared" si="14"/>
        <v>134494.2857</v>
      </c>
      <c r="G41" s="49">
        <f t="shared" si="15"/>
        <v>173062.5</v>
      </c>
      <c r="H41" s="49">
        <f t="shared" si="16"/>
        <v>138450</v>
      </c>
      <c r="I41" s="49">
        <f t="shared" si="1"/>
        <v>840.5892857</v>
      </c>
      <c r="J41" s="49">
        <f t="shared" si="2"/>
        <v>672.4714286</v>
      </c>
      <c r="K41" s="49">
        <f t="shared" si="3"/>
        <v>1442.1875</v>
      </c>
      <c r="L41" s="49">
        <f t="shared" si="4"/>
        <v>1730.625</v>
      </c>
      <c r="P41" s="7">
        <f t="shared" si="11"/>
        <v>134494.2857</v>
      </c>
      <c r="Q41" s="4" t="s">
        <v>109</v>
      </c>
      <c r="R41" s="7">
        <f t="shared" si="12"/>
        <v>672.4714286</v>
      </c>
    </row>
    <row r="42">
      <c r="C42" s="47" t="s">
        <v>53</v>
      </c>
      <c r="D42" s="56">
        <v>72.18</v>
      </c>
      <c r="E42" s="49">
        <f t="shared" si="13"/>
        <v>122706</v>
      </c>
      <c r="F42" s="49">
        <f t="shared" si="14"/>
        <v>70117.71429</v>
      </c>
      <c r="G42" s="49">
        <f t="shared" si="15"/>
        <v>90225</v>
      </c>
      <c r="H42" s="49">
        <f t="shared" si="16"/>
        <v>72180</v>
      </c>
      <c r="I42" s="49">
        <f t="shared" si="1"/>
        <v>438.2357143</v>
      </c>
      <c r="J42" s="49">
        <f t="shared" si="2"/>
        <v>350.5885714</v>
      </c>
      <c r="K42" s="49">
        <f t="shared" si="3"/>
        <v>751.875</v>
      </c>
      <c r="L42" s="49">
        <f t="shared" si="4"/>
        <v>902.25</v>
      </c>
      <c r="P42" s="7">
        <f t="shared" si="11"/>
        <v>70117.71429</v>
      </c>
      <c r="Q42" s="4" t="s">
        <v>109</v>
      </c>
      <c r="R42" s="7">
        <f t="shared" si="12"/>
        <v>350.5885714</v>
      </c>
    </row>
    <row r="43">
      <c r="A43" s="46" t="s">
        <v>10</v>
      </c>
      <c r="B43" s="46" t="s">
        <v>45</v>
      </c>
      <c r="C43" s="47" t="s">
        <v>22</v>
      </c>
      <c r="D43" s="56">
        <v>62.41</v>
      </c>
      <c r="E43" s="49">
        <f t="shared" si="13"/>
        <v>106097</v>
      </c>
      <c r="F43" s="49">
        <f t="shared" si="14"/>
        <v>60626.85714</v>
      </c>
      <c r="G43" s="49">
        <f t="shared" si="15"/>
        <v>78012.5</v>
      </c>
      <c r="H43" s="49">
        <f t="shared" si="16"/>
        <v>62410</v>
      </c>
      <c r="I43" s="49">
        <f t="shared" si="1"/>
        <v>378.9178571</v>
      </c>
      <c r="J43" s="49">
        <f t="shared" si="2"/>
        <v>303.1342857</v>
      </c>
      <c r="K43" s="49">
        <f t="shared" si="3"/>
        <v>650.1041667</v>
      </c>
      <c r="L43" s="49">
        <f t="shared" si="4"/>
        <v>780.125</v>
      </c>
      <c r="P43" s="7">
        <f t="shared" si="11"/>
        <v>60626.85714</v>
      </c>
      <c r="Q43" s="4" t="s">
        <v>109</v>
      </c>
      <c r="R43" s="7">
        <f t="shared" si="12"/>
        <v>303.1342857</v>
      </c>
    </row>
    <row r="44">
      <c r="C44" s="47" t="s">
        <v>47</v>
      </c>
      <c r="D44" s="56">
        <v>103.54</v>
      </c>
      <c r="E44" s="49">
        <f t="shared" si="13"/>
        <v>176018</v>
      </c>
      <c r="F44" s="49">
        <f t="shared" si="14"/>
        <v>100581.7143</v>
      </c>
      <c r="G44" s="49">
        <f t="shared" si="15"/>
        <v>129425</v>
      </c>
      <c r="H44" s="49">
        <f t="shared" si="16"/>
        <v>103540</v>
      </c>
      <c r="I44" s="49">
        <f t="shared" si="1"/>
        <v>628.6357143</v>
      </c>
      <c r="J44" s="49">
        <f t="shared" si="2"/>
        <v>502.9085714</v>
      </c>
      <c r="K44" s="49">
        <f t="shared" si="3"/>
        <v>1078.541667</v>
      </c>
      <c r="L44" s="49">
        <f t="shared" si="4"/>
        <v>1294.25</v>
      </c>
      <c r="P44" s="7">
        <f t="shared" si="11"/>
        <v>100581.7143</v>
      </c>
      <c r="Q44" s="4" t="s">
        <v>109</v>
      </c>
      <c r="R44" s="7">
        <f t="shared" si="12"/>
        <v>502.9085714</v>
      </c>
    </row>
    <row r="45">
      <c r="C45" s="47" t="s">
        <v>49</v>
      </c>
      <c r="D45" s="56">
        <v>80.4</v>
      </c>
      <c r="E45" s="49">
        <f t="shared" si="13"/>
        <v>136680</v>
      </c>
      <c r="F45" s="49">
        <f t="shared" si="14"/>
        <v>78102.85714</v>
      </c>
      <c r="G45" s="49">
        <f t="shared" si="15"/>
        <v>100500</v>
      </c>
      <c r="H45" s="49">
        <f t="shared" si="16"/>
        <v>80400</v>
      </c>
      <c r="I45" s="49">
        <f t="shared" si="1"/>
        <v>488.1428571</v>
      </c>
      <c r="J45" s="49">
        <f t="shared" si="2"/>
        <v>390.5142857</v>
      </c>
      <c r="K45" s="49">
        <f t="shared" si="3"/>
        <v>837.5</v>
      </c>
      <c r="L45" s="49">
        <f t="shared" si="4"/>
        <v>1005</v>
      </c>
      <c r="P45" s="7">
        <f t="shared" si="11"/>
        <v>78102.85714</v>
      </c>
      <c r="Q45" s="4" t="s">
        <v>109</v>
      </c>
      <c r="R45" s="7">
        <f t="shared" si="12"/>
        <v>390.5142857</v>
      </c>
    </row>
    <row r="53">
      <c r="N53" s="7" t="str">
        <f>MIN(#REF!)</f>
        <v>#REF!</v>
      </c>
    </row>
    <row r="54">
      <c r="N54" s="7">
        <f>MIN(E46:H46)</f>
        <v>0</v>
      </c>
    </row>
  </sheetData>
  <mergeCells count="6">
    <mergeCell ref="E1:H1"/>
    <mergeCell ref="I1:L1"/>
    <mergeCell ref="A2:A3"/>
    <mergeCell ref="B2:B3"/>
    <mergeCell ref="C2:C3"/>
    <mergeCell ref="D2:D3"/>
  </mergeCells>
  <hyperlinks>
    <hyperlink r:id="rId1" ref="S7"/>
  </hyperlinks>
  <drawing r:id="rId2"/>
  <tableParts count="2"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92</v>
      </c>
      <c r="B1" s="14" t="s">
        <v>94</v>
      </c>
      <c r="C1" s="14" t="s">
        <v>0</v>
      </c>
      <c r="D1" s="14" t="s">
        <v>121</v>
      </c>
      <c r="E1" s="14" t="s">
        <v>122</v>
      </c>
      <c r="F1" s="14" t="s">
        <v>123</v>
      </c>
      <c r="G1" s="4" t="s">
        <v>124</v>
      </c>
    </row>
    <row r="2">
      <c r="A2" s="14" t="s">
        <v>97</v>
      </c>
      <c r="B2" s="14" t="s">
        <v>11</v>
      </c>
      <c r="C2" s="14" t="s">
        <v>13</v>
      </c>
      <c r="D2" s="64">
        <v>6900000.0</v>
      </c>
      <c r="E2" s="64">
        <v>5500000.0</v>
      </c>
      <c r="F2" s="64">
        <v>3500000.0</v>
      </c>
      <c r="I2" s="4" t="s">
        <v>125</v>
      </c>
    </row>
    <row r="3">
      <c r="A3" s="14" t="s">
        <v>97</v>
      </c>
      <c r="B3" s="14" t="s">
        <v>20</v>
      </c>
      <c r="C3" s="14" t="s">
        <v>13</v>
      </c>
      <c r="D3" s="64">
        <v>6900000.0</v>
      </c>
      <c r="E3" s="64">
        <v>5500000.0</v>
      </c>
      <c r="F3" s="64">
        <v>3500000.0</v>
      </c>
      <c r="I3" s="65" t="s">
        <v>126</v>
      </c>
    </row>
    <row r="4">
      <c r="A4" s="14" t="s">
        <v>97</v>
      </c>
      <c r="B4" s="14" t="s">
        <v>88</v>
      </c>
      <c r="C4" s="14" t="s">
        <v>127</v>
      </c>
      <c r="D4" s="64">
        <v>6900000.0</v>
      </c>
      <c r="E4" s="64">
        <v>5500000.0</v>
      </c>
      <c r="F4" s="64">
        <v>3500000.0</v>
      </c>
    </row>
    <row r="5">
      <c r="A5" s="14" t="s">
        <v>97</v>
      </c>
      <c r="B5" s="14" t="s">
        <v>89</v>
      </c>
      <c r="C5" s="14" t="s">
        <v>127</v>
      </c>
      <c r="D5" s="64">
        <v>6900000.0</v>
      </c>
      <c r="E5" s="64">
        <v>5500000.0</v>
      </c>
      <c r="F5" s="64">
        <v>3500000.0</v>
      </c>
    </row>
    <row r="6">
      <c r="A6" s="14" t="s">
        <v>97</v>
      </c>
      <c r="B6" s="14" t="s">
        <v>90</v>
      </c>
      <c r="C6" s="14" t="s">
        <v>127</v>
      </c>
      <c r="D6" s="64">
        <v>6900000.0</v>
      </c>
      <c r="E6" s="64">
        <v>5500000.0</v>
      </c>
      <c r="F6" s="64">
        <v>3500000.0</v>
      </c>
    </row>
    <row r="7">
      <c r="A7" s="14" t="s">
        <v>97</v>
      </c>
      <c r="B7" s="14" t="s">
        <v>91</v>
      </c>
      <c r="C7" s="14" t="s">
        <v>127</v>
      </c>
      <c r="D7" s="64">
        <v>6900000.0</v>
      </c>
      <c r="E7" s="64">
        <v>5500000.0</v>
      </c>
      <c r="F7" s="64">
        <v>3500000.0</v>
      </c>
    </row>
    <row r="8">
      <c r="A8" s="14" t="s">
        <v>98</v>
      </c>
      <c r="B8" s="14" t="s">
        <v>82</v>
      </c>
      <c r="C8" s="14" t="s">
        <v>128</v>
      </c>
      <c r="D8" s="64">
        <v>1.385397E7</v>
      </c>
      <c r="E8" s="64">
        <v>6560843.333</v>
      </c>
      <c r="F8" s="64">
        <v>6560843.333</v>
      </c>
      <c r="G8" s="64">
        <v>6560843.333</v>
      </c>
    </row>
    <row r="9">
      <c r="A9" s="14" t="s">
        <v>98</v>
      </c>
      <c r="B9" s="14" t="s">
        <v>58</v>
      </c>
      <c r="C9" s="14" t="s">
        <v>66</v>
      </c>
      <c r="D9" s="64">
        <v>1.385397E7</v>
      </c>
      <c r="E9" s="64">
        <v>6560843.333</v>
      </c>
      <c r="F9" s="64">
        <v>6560843.333</v>
      </c>
      <c r="G9" s="64">
        <v>6560843.333</v>
      </c>
    </row>
    <row r="10">
      <c r="A10" s="14" t="s">
        <v>98</v>
      </c>
      <c r="B10" s="14" t="s">
        <v>59</v>
      </c>
      <c r="C10" s="14" t="s">
        <v>66</v>
      </c>
      <c r="D10" s="64">
        <v>1.385397E7</v>
      </c>
      <c r="E10" s="64">
        <v>6560843.333</v>
      </c>
      <c r="F10" s="64">
        <v>6560843.333</v>
      </c>
      <c r="G10" s="64">
        <v>6560843.333</v>
      </c>
    </row>
    <row r="11">
      <c r="A11" s="14" t="s">
        <v>98</v>
      </c>
      <c r="B11" s="14" t="s">
        <v>62</v>
      </c>
      <c r="C11" s="14" t="s">
        <v>66</v>
      </c>
      <c r="D11" s="64">
        <v>1.385397E7</v>
      </c>
      <c r="E11" s="64">
        <v>6560843.333</v>
      </c>
      <c r="F11" s="64">
        <v>6560843.333</v>
      </c>
      <c r="G11" s="64">
        <v>6560843.333</v>
      </c>
    </row>
    <row r="12">
      <c r="A12" s="14" t="s">
        <v>98</v>
      </c>
      <c r="B12" s="14" t="s">
        <v>63</v>
      </c>
      <c r="C12" s="14" t="s">
        <v>66</v>
      </c>
      <c r="D12" s="64">
        <v>1.385397E7</v>
      </c>
      <c r="E12" s="64">
        <v>6560843.333</v>
      </c>
      <c r="F12" s="64">
        <v>6560843.333</v>
      </c>
      <c r="G12" s="64">
        <v>6560843.333</v>
      </c>
    </row>
    <row r="13">
      <c r="A13" s="14" t="s">
        <v>98</v>
      </c>
      <c r="B13" s="14" t="s">
        <v>69</v>
      </c>
      <c r="C13" s="14" t="s">
        <v>66</v>
      </c>
      <c r="D13" s="64">
        <v>1.385397E7</v>
      </c>
      <c r="E13" s="64">
        <v>6560843.333</v>
      </c>
      <c r="F13" s="64">
        <v>6560843.333</v>
      </c>
      <c r="G13" s="64">
        <v>6560843.333</v>
      </c>
    </row>
    <row r="14">
      <c r="A14" s="14" t="s">
        <v>98</v>
      </c>
      <c r="B14" s="14" t="s">
        <v>76</v>
      </c>
      <c r="C14" s="14" t="s">
        <v>66</v>
      </c>
      <c r="D14" s="64">
        <v>1.385397E7</v>
      </c>
      <c r="E14" s="64">
        <v>6560843.333</v>
      </c>
      <c r="F14" s="64">
        <v>6560843.333</v>
      </c>
      <c r="G14" s="64">
        <v>6560843.333</v>
      </c>
    </row>
    <row r="15">
      <c r="A15" s="14" t="s">
        <v>98</v>
      </c>
      <c r="B15" s="14" t="s">
        <v>78</v>
      </c>
      <c r="C15" s="14" t="s">
        <v>66</v>
      </c>
      <c r="D15" s="64">
        <v>1.385397E7</v>
      </c>
      <c r="E15" s="64">
        <v>6560843.333</v>
      </c>
      <c r="F15" s="64">
        <v>6560843.333</v>
      </c>
      <c r="G15" s="64">
        <v>6560843.333</v>
      </c>
    </row>
    <row r="16">
      <c r="A16" s="14" t="s">
        <v>98</v>
      </c>
      <c r="B16" s="14" t="s">
        <v>80</v>
      </c>
      <c r="C16" s="14" t="s">
        <v>66</v>
      </c>
      <c r="D16" s="64">
        <v>1.385397E7</v>
      </c>
      <c r="E16" s="64">
        <v>6560843.333</v>
      </c>
      <c r="F16" s="64">
        <v>6560843.333</v>
      </c>
      <c r="G16" s="64">
        <v>6560843.333</v>
      </c>
    </row>
    <row r="17">
      <c r="A17" s="14" t="s">
        <v>98</v>
      </c>
      <c r="B17" s="14" t="s">
        <v>83</v>
      </c>
      <c r="C17" s="14" t="s">
        <v>66</v>
      </c>
      <c r="D17" s="64">
        <v>1.385397E7</v>
      </c>
      <c r="E17" s="64">
        <v>6560843.333</v>
      </c>
      <c r="F17" s="64">
        <v>6560843.333</v>
      </c>
      <c r="G17" s="64">
        <v>6560843.333</v>
      </c>
    </row>
    <row r="18">
      <c r="A18" s="14" t="s">
        <v>10</v>
      </c>
      <c r="B18" s="14" t="s">
        <v>17</v>
      </c>
      <c r="C18" s="14" t="s">
        <v>13</v>
      </c>
      <c r="D18" s="64">
        <v>6900000.0</v>
      </c>
      <c r="E18" s="64">
        <v>5500000.0</v>
      </c>
      <c r="F18" s="64">
        <v>3500000.0</v>
      </c>
    </row>
    <row r="19">
      <c r="A19" s="14" t="s">
        <v>10</v>
      </c>
      <c r="B19" s="14" t="s">
        <v>23</v>
      </c>
      <c r="C19" s="14" t="s">
        <v>13</v>
      </c>
      <c r="D19" s="64">
        <v>6900000.0</v>
      </c>
      <c r="E19" s="64">
        <v>5500000.0</v>
      </c>
      <c r="F19" s="64">
        <v>3500000.0</v>
      </c>
    </row>
    <row r="20">
      <c r="A20" s="14" t="s">
        <v>10</v>
      </c>
      <c r="B20" s="14" t="s">
        <v>26</v>
      </c>
      <c r="C20" s="14" t="s">
        <v>13</v>
      </c>
      <c r="D20" s="64">
        <v>6900000.0</v>
      </c>
      <c r="E20" s="64">
        <v>5500000.0</v>
      </c>
      <c r="F20" s="64">
        <v>3500000.0</v>
      </c>
    </row>
    <row r="21">
      <c r="A21" s="14" t="s">
        <v>10</v>
      </c>
      <c r="B21" s="14" t="s">
        <v>29</v>
      </c>
      <c r="C21" s="14" t="s">
        <v>13</v>
      </c>
      <c r="D21" s="64">
        <v>6900000.0</v>
      </c>
      <c r="E21" s="64">
        <v>5500000.0</v>
      </c>
      <c r="F21" s="64">
        <v>3500000.0</v>
      </c>
    </row>
    <row r="22">
      <c r="A22" s="14" t="s">
        <v>10</v>
      </c>
      <c r="B22" s="14" t="s">
        <v>25</v>
      </c>
      <c r="C22" s="14" t="s">
        <v>127</v>
      </c>
      <c r="D22" s="64">
        <v>6900000.0</v>
      </c>
      <c r="E22" s="64">
        <v>5500000.0</v>
      </c>
      <c r="F22" s="64">
        <v>3500000.0</v>
      </c>
    </row>
    <row r="23">
      <c r="A23" s="14" t="s">
        <v>10</v>
      </c>
      <c r="B23" s="14" t="s">
        <v>32</v>
      </c>
      <c r="C23" s="14" t="s">
        <v>127</v>
      </c>
      <c r="D23" s="64">
        <v>6900000.0</v>
      </c>
      <c r="E23" s="64">
        <v>5500000.0</v>
      </c>
      <c r="F23" s="64">
        <v>3500000.0</v>
      </c>
    </row>
    <row r="24">
      <c r="A24" s="14" t="s">
        <v>10</v>
      </c>
      <c r="B24" s="14" t="s">
        <v>34</v>
      </c>
      <c r="C24" s="14" t="s">
        <v>127</v>
      </c>
      <c r="D24" s="64">
        <v>6900000.0</v>
      </c>
      <c r="E24" s="64">
        <v>5500000.0</v>
      </c>
      <c r="F24" s="64">
        <v>3500000.0</v>
      </c>
    </row>
    <row r="25">
      <c r="A25" s="14" t="s">
        <v>10</v>
      </c>
      <c r="B25" s="14" t="s">
        <v>39</v>
      </c>
      <c r="C25" s="14" t="s">
        <v>127</v>
      </c>
      <c r="D25" s="64">
        <v>6900000.0</v>
      </c>
      <c r="E25" s="64">
        <v>5500000.0</v>
      </c>
      <c r="F25" s="64">
        <v>3500000.0</v>
      </c>
    </row>
    <row r="26">
      <c r="A26" s="14" t="s">
        <v>10</v>
      </c>
      <c r="B26" s="14" t="s">
        <v>40</v>
      </c>
      <c r="C26" s="14" t="s">
        <v>127</v>
      </c>
      <c r="D26" s="64">
        <v>6900000.0</v>
      </c>
      <c r="E26" s="64">
        <v>5500000.0</v>
      </c>
      <c r="F26" s="64">
        <v>3500000.0</v>
      </c>
    </row>
    <row r="27">
      <c r="A27" s="14" t="s">
        <v>10</v>
      </c>
      <c r="B27" s="14" t="s">
        <v>43</v>
      </c>
      <c r="C27" s="14" t="s">
        <v>127</v>
      </c>
      <c r="D27" s="64">
        <v>6900000.0</v>
      </c>
      <c r="E27" s="64">
        <v>5500000.0</v>
      </c>
      <c r="F27" s="64">
        <v>3500000.0</v>
      </c>
    </row>
    <row r="28">
      <c r="A28" s="14" t="s">
        <v>10</v>
      </c>
      <c r="B28" s="14" t="s">
        <v>45</v>
      </c>
      <c r="C28" s="14" t="s">
        <v>127</v>
      </c>
      <c r="D28" s="64">
        <v>6900000.0</v>
      </c>
      <c r="E28" s="64">
        <v>5500000.0</v>
      </c>
      <c r="F28" s="64">
        <v>3500000.0</v>
      </c>
    </row>
    <row r="29">
      <c r="A29" s="14" t="s">
        <v>10</v>
      </c>
      <c r="B29" s="14" t="s">
        <v>48</v>
      </c>
      <c r="C29" s="14" t="s">
        <v>127</v>
      </c>
      <c r="D29" s="64">
        <v>6900000.0</v>
      </c>
      <c r="E29" s="64">
        <v>5500000.0</v>
      </c>
      <c r="F29" s="64">
        <v>3500000.0</v>
      </c>
    </row>
  </sheetData>
  <hyperlinks>
    <hyperlink r:id="rId1" ref="I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43.0"/>
    <col customWidth="1" min="3" max="3" width="34.63"/>
    <col customWidth="1" min="4" max="4" width="36.88"/>
    <col customWidth="1" min="5" max="5" width="28.13"/>
    <col customWidth="1" min="6" max="6" width="41.75"/>
    <col customWidth="1" min="7" max="7" width="52.88"/>
    <col customWidth="1" min="18" max="18" width="68.75"/>
    <col customWidth="1" min="19" max="19" width="75.88"/>
    <col customWidth="1" min="20" max="20" width="65.13"/>
    <col customWidth="1" min="21" max="21" width="62.5"/>
    <col customWidth="1" min="22" max="22" width="44.13"/>
    <col customWidth="1" min="23" max="23" width="31.38"/>
    <col customWidth="1" min="24" max="24" width="40.25"/>
  </cols>
  <sheetData>
    <row r="1">
      <c r="A1" s="66" t="s">
        <v>129</v>
      </c>
      <c r="F1" s="66" t="s">
        <v>130</v>
      </c>
      <c r="J1" s="66" t="s">
        <v>131</v>
      </c>
      <c r="R1" s="66" t="s">
        <v>132</v>
      </c>
      <c r="T1" s="66" t="s">
        <v>133</v>
      </c>
    </row>
    <row r="2">
      <c r="A2" s="67"/>
      <c r="F2" s="67"/>
      <c r="J2" s="67"/>
      <c r="R2" s="67"/>
      <c r="T2" s="67"/>
    </row>
    <row r="3">
      <c r="A3" s="66" t="s">
        <v>134</v>
      </c>
      <c r="F3" s="66" t="s">
        <v>135</v>
      </c>
      <c r="J3" s="66" t="s">
        <v>136</v>
      </c>
      <c r="R3" s="66" t="s">
        <v>137</v>
      </c>
      <c r="T3" s="66" t="s">
        <v>138</v>
      </c>
    </row>
    <row r="4">
      <c r="A4" s="67"/>
      <c r="F4" s="67"/>
      <c r="J4" s="67"/>
      <c r="R4" s="67"/>
      <c r="T4" s="67"/>
    </row>
    <row r="5">
      <c r="A5" s="66" t="s">
        <v>139</v>
      </c>
      <c r="F5" s="66" t="s">
        <v>140</v>
      </c>
      <c r="J5" s="66" t="s">
        <v>141</v>
      </c>
      <c r="R5" s="66" t="s">
        <v>142</v>
      </c>
      <c r="T5" s="66" t="s">
        <v>143</v>
      </c>
    </row>
    <row r="6">
      <c r="A6" s="66" t="s">
        <v>144</v>
      </c>
      <c r="F6" s="67"/>
      <c r="J6" s="66" t="s">
        <v>145</v>
      </c>
      <c r="R6" s="67"/>
      <c r="T6" s="67"/>
    </row>
    <row r="7">
      <c r="A7" s="67"/>
      <c r="F7" s="66" t="s">
        <v>146</v>
      </c>
      <c r="J7" s="67"/>
      <c r="R7" s="66" t="s">
        <v>147</v>
      </c>
      <c r="T7" s="66" t="s">
        <v>148</v>
      </c>
    </row>
    <row r="8">
      <c r="A8" s="66" t="s">
        <v>149</v>
      </c>
      <c r="F8" s="67"/>
      <c r="J8" s="66" t="s">
        <v>150</v>
      </c>
      <c r="R8" s="67"/>
      <c r="T8" s="67"/>
    </row>
    <row r="9">
      <c r="A9" s="67"/>
      <c r="F9" s="66" t="s">
        <v>151</v>
      </c>
      <c r="J9" s="67"/>
      <c r="R9" s="66" t="s">
        <v>152</v>
      </c>
      <c r="T9" s="66" t="s">
        <v>153</v>
      </c>
    </row>
    <row r="10">
      <c r="A10" s="66" t="s">
        <v>154</v>
      </c>
      <c r="F10" s="67"/>
      <c r="J10" s="66" t="s">
        <v>155</v>
      </c>
      <c r="R10" s="67"/>
      <c r="T10" s="67"/>
    </row>
    <row r="11">
      <c r="A11" s="67"/>
      <c r="F11" s="66" t="s">
        <v>156</v>
      </c>
      <c r="J11" s="67"/>
      <c r="R11" s="66" t="s">
        <v>157</v>
      </c>
      <c r="T11" s="66" t="s">
        <v>158</v>
      </c>
    </row>
    <row r="12">
      <c r="A12" s="66" t="s">
        <v>159</v>
      </c>
      <c r="F12" s="67"/>
      <c r="J12" s="66" t="s">
        <v>160</v>
      </c>
      <c r="R12" s="67"/>
      <c r="T12" s="67"/>
    </row>
    <row r="13">
      <c r="A13" s="67"/>
      <c r="F13" s="66" t="s">
        <v>161</v>
      </c>
      <c r="J13" s="67"/>
      <c r="R13" s="66" t="s">
        <v>162</v>
      </c>
      <c r="T13" s="66" t="s">
        <v>163</v>
      </c>
    </row>
    <row r="14">
      <c r="A14" s="66" t="s">
        <v>164</v>
      </c>
      <c r="F14" s="66" t="s">
        <v>165</v>
      </c>
      <c r="J14" s="66" t="s">
        <v>147</v>
      </c>
      <c r="R14" s="67"/>
      <c r="T14" s="67"/>
    </row>
    <row r="15">
      <c r="A15" s="67"/>
      <c r="F15" s="66" t="s">
        <v>166</v>
      </c>
      <c r="J15" s="67"/>
      <c r="R15" s="66" t="s">
        <v>167</v>
      </c>
      <c r="T15" s="66" t="s">
        <v>168</v>
      </c>
    </row>
    <row r="16">
      <c r="A16" s="66" t="s">
        <v>169</v>
      </c>
      <c r="J16" s="66" t="s">
        <v>170</v>
      </c>
      <c r="R16" s="67"/>
      <c r="T16" s="67"/>
    </row>
    <row r="17">
      <c r="A17" s="66" t="s">
        <v>171</v>
      </c>
      <c r="J17" s="67"/>
      <c r="R17" s="66" t="s">
        <v>172</v>
      </c>
      <c r="T17" s="66" t="s">
        <v>173</v>
      </c>
    </row>
    <row r="18">
      <c r="A18" s="66" t="s">
        <v>174</v>
      </c>
      <c r="J18" s="66" t="s">
        <v>175</v>
      </c>
      <c r="R18" s="67"/>
      <c r="T18" s="67"/>
    </row>
    <row r="19">
      <c r="A19" s="66" t="s">
        <v>176</v>
      </c>
      <c r="J19" s="67"/>
      <c r="R19" s="66" t="s">
        <v>177</v>
      </c>
      <c r="T19" s="66" t="s">
        <v>178</v>
      </c>
    </row>
    <row r="20">
      <c r="A20" s="67"/>
      <c r="J20" s="66" t="s">
        <v>179</v>
      </c>
      <c r="R20" s="67"/>
      <c r="T20" s="67"/>
    </row>
    <row r="21">
      <c r="A21" s="66" t="s">
        <v>180</v>
      </c>
      <c r="J21" s="67"/>
      <c r="R21" s="66" t="s">
        <v>160</v>
      </c>
      <c r="T21" s="66" t="s">
        <v>181</v>
      </c>
    </row>
    <row r="22">
      <c r="A22" s="67"/>
      <c r="J22" s="66" t="s">
        <v>182</v>
      </c>
      <c r="R22" s="67"/>
      <c r="T22" s="67"/>
    </row>
    <row r="23">
      <c r="A23" s="68" t="s">
        <v>183</v>
      </c>
      <c r="J23" s="67"/>
      <c r="R23" s="66" t="s">
        <v>184</v>
      </c>
      <c r="T23" s="66" t="s">
        <v>185</v>
      </c>
    </row>
    <row r="24">
      <c r="A24" s="67"/>
      <c r="J24" s="66" t="s">
        <v>186</v>
      </c>
      <c r="R24" s="67"/>
      <c r="T24" s="67"/>
    </row>
    <row r="25">
      <c r="A25" s="68" t="s">
        <v>187</v>
      </c>
      <c r="J25" s="67"/>
      <c r="R25" s="66" t="s">
        <v>170</v>
      </c>
      <c r="T25" s="66" t="s">
        <v>160</v>
      </c>
    </row>
    <row r="26">
      <c r="A26" s="67"/>
      <c r="J26" s="66" t="s">
        <v>188</v>
      </c>
      <c r="R26" s="67"/>
      <c r="T26" s="67"/>
    </row>
    <row r="27">
      <c r="A27" s="68" t="s">
        <v>189</v>
      </c>
      <c r="J27" s="67"/>
      <c r="R27" s="66" t="s">
        <v>152</v>
      </c>
      <c r="T27" s="66" t="s">
        <v>190</v>
      </c>
    </row>
    <row r="28">
      <c r="A28" s="67"/>
      <c r="J28" s="66" t="s">
        <v>191</v>
      </c>
      <c r="R28" s="67"/>
      <c r="T28" s="67"/>
    </row>
    <row r="29">
      <c r="A29" s="68" t="s">
        <v>192</v>
      </c>
      <c r="J29" s="67"/>
      <c r="R29" s="66" t="s">
        <v>193</v>
      </c>
      <c r="T29" s="66" t="s">
        <v>194</v>
      </c>
    </row>
    <row r="30">
      <c r="A30" s="67"/>
      <c r="J30" s="66" t="s">
        <v>160</v>
      </c>
      <c r="R30" s="67"/>
      <c r="T30" s="67"/>
    </row>
    <row r="31">
      <c r="A31" s="66" t="s">
        <v>195</v>
      </c>
      <c r="J31" s="67"/>
      <c r="R31" s="66" t="s">
        <v>196</v>
      </c>
      <c r="T31" s="66" t="s">
        <v>197</v>
      </c>
    </row>
    <row r="32">
      <c r="A32" s="67"/>
      <c r="J32" s="66" t="s">
        <v>198</v>
      </c>
      <c r="R32" s="67"/>
      <c r="T32" s="67"/>
    </row>
    <row r="33">
      <c r="A33" s="66" t="s">
        <v>199</v>
      </c>
      <c r="J33" s="67"/>
      <c r="R33" s="66" t="s">
        <v>167</v>
      </c>
      <c r="T33" s="66" t="s">
        <v>200</v>
      </c>
    </row>
    <row r="34">
      <c r="A34" s="67"/>
      <c r="J34" s="66" t="s">
        <v>201</v>
      </c>
      <c r="R34" s="67"/>
      <c r="T34" s="67"/>
    </row>
    <row r="35">
      <c r="A35" s="66" t="s">
        <v>202</v>
      </c>
      <c r="J35" s="67"/>
      <c r="R35" s="66" t="s">
        <v>203</v>
      </c>
      <c r="T35" s="66" t="s">
        <v>204</v>
      </c>
    </row>
    <row r="36">
      <c r="A36" s="67"/>
      <c r="J36" s="66" t="s">
        <v>205</v>
      </c>
      <c r="R36" s="67"/>
      <c r="T36" s="67"/>
    </row>
    <row r="37">
      <c r="A37" s="66" t="s">
        <v>206</v>
      </c>
      <c r="J37" s="67"/>
      <c r="R37" s="66" t="s">
        <v>207</v>
      </c>
      <c r="T37" s="66" t="s">
        <v>208</v>
      </c>
    </row>
    <row r="38">
      <c r="A38" s="67"/>
      <c r="J38" s="66" t="s">
        <v>209</v>
      </c>
      <c r="R38" s="67"/>
      <c r="T38" s="67"/>
    </row>
    <row r="39">
      <c r="A39" s="66" t="s">
        <v>210</v>
      </c>
      <c r="J39" s="67"/>
      <c r="R39" s="66" t="s">
        <v>170</v>
      </c>
      <c r="T39" s="66" t="s">
        <v>211</v>
      </c>
    </row>
    <row r="40">
      <c r="A40" s="66" t="s">
        <v>212</v>
      </c>
      <c r="J40" s="66" t="s">
        <v>213</v>
      </c>
      <c r="R40" s="67"/>
      <c r="T40" s="67"/>
    </row>
    <row r="41">
      <c r="A41" s="66" t="s">
        <v>214</v>
      </c>
      <c r="J41" s="67"/>
      <c r="R41" s="66" t="s">
        <v>152</v>
      </c>
      <c r="T41" s="66" t="s">
        <v>215</v>
      </c>
    </row>
    <row r="42">
      <c r="A42" s="66" t="s">
        <v>216</v>
      </c>
      <c r="J42" s="66" t="s">
        <v>217</v>
      </c>
      <c r="R42" s="67"/>
      <c r="T42" s="67"/>
    </row>
    <row r="43">
      <c r="A43" s="67"/>
      <c r="J43" s="67"/>
      <c r="R43" s="66" t="s">
        <v>218</v>
      </c>
      <c r="T43" s="66" t="s">
        <v>219</v>
      </c>
    </row>
    <row r="44">
      <c r="A44" s="66" t="s">
        <v>220</v>
      </c>
      <c r="J44" s="66" t="s">
        <v>221</v>
      </c>
      <c r="R44" s="67"/>
      <c r="T44" s="67"/>
    </row>
    <row r="45">
      <c r="A45" s="67"/>
      <c r="R45" s="66" t="s">
        <v>222</v>
      </c>
      <c r="T45" s="66" t="s">
        <v>223</v>
      </c>
    </row>
    <row r="46">
      <c r="A46" s="68" t="s">
        <v>224</v>
      </c>
      <c r="R46" s="67"/>
      <c r="T46" s="67"/>
    </row>
    <row r="47">
      <c r="A47" s="67"/>
      <c r="R47" s="66" t="s">
        <v>167</v>
      </c>
      <c r="T47" s="66" t="s">
        <v>225</v>
      </c>
    </row>
    <row r="48">
      <c r="A48" s="68" t="s">
        <v>226</v>
      </c>
      <c r="R48" s="67"/>
      <c r="T48" s="67"/>
    </row>
    <row r="49">
      <c r="A49" s="67"/>
      <c r="R49" s="66" t="s">
        <v>227</v>
      </c>
      <c r="T49" s="66" t="s">
        <v>228</v>
      </c>
    </row>
    <row r="50">
      <c r="A50" s="68" t="s">
        <v>229</v>
      </c>
      <c r="R50" s="67"/>
      <c r="T50" s="67"/>
    </row>
    <row r="51">
      <c r="A51" s="67"/>
      <c r="R51" s="66" t="s">
        <v>230</v>
      </c>
      <c r="T51" s="69" t="s">
        <v>231</v>
      </c>
    </row>
    <row r="52">
      <c r="A52" s="68" t="s">
        <v>232</v>
      </c>
      <c r="R52" s="67"/>
      <c r="T52" s="66" t="s">
        <v>233</v>
      </c>
    </row>
    <row r="53">
      <c r="A53" s="67"/>
      <c r="R53" s="66" t="s">
        <v>234</v>
      </c>
      <c r="T53" s="66" t="s">
        <v>235</v>
      </c>
    </row>
    <row r="54">
      <c r="A54" s="66" t="s">
        <v>195</v>
      </c>
      <c r="R54" s="67"/>
    </row>
    <row r="55">
      <c r="A55" s="67"/>
      <c r="R55" s="66" t="s">
        <v>184</v>
      </c>
    </row>
    <row r="56">
      <c r="A56" s="66" t="s">
        <v>236</v>
      </c>
      <c r="R56" s="67"/>
    </row>
    <row r="57">
      <c r="A57" s="67"/>
      <c r="R57" s="66" t="s">
        <v>170</v>
      </c>
    </row>
    <row r="58">
      <c r="A58" s="66" t="s">
        <v>237</v>
      </c>
      <c r="R58" s="67"/>
    </row>
    <row r="59">
      <c r="A59" s="67"/>
      <c r="R59" s="66" t="s">
        <v>152</v>
      </c>
    </row>
    <row r="60">
      <c r="A60" s="66" t="s">
        <v>238</v>
      </c>
      <c r="R60" s="67"/>
    </row>
    <row r="61">
      <c r="A61" s="67"/>
      <c r="R61" s="66" t="s">
        <v>239</v>
      </c>
    </row>
    <row r="62">
      <c r="A62" s="66" t="s">
        <v>240</v>
      </c>
      <c r="R62" s="67"/>
    </row>
    <row r="63">
      <c r="A63" s="67"/>
      <c r="R63" s="66" t="s">
        <v>241</v>
      </c>
    </row>
    <row r="64">
      <c r="A64" s="68" t="s">
        <v>242</v>
      </c>
      <c r="R64" s="67"/>
    </row>
    <row r="65">
      <c r="A65" s="67"/>
      <c r="R65" s="66" t="s">
        <v>167</v>
      </c>
    </row>
    <row r="66">
      <c r="A66" s="68" t="s">
        <v>243</v>
      </c>
      <c r="R66" s="67"/>
    </row>
    <row r="67">
      <c r="A67" s="67"/>
      <c r="R67" s="66" t="s">
        <v>244</v>
      </c>
    </row>
    <row r="68">
      <c r="A68" s="66" t="s">
        <v>195</v>
      </c>
      <c r="R68" s="67"/>
    </row>
    <row r="69">
      <c r="R69" s="66" t="s">
        <v>245</v>
      </c>
    </row>
    <row r="70">
      <c r="R70" s="67"/>
    </row>
    <row r="71">
      <c r="R71" s="66" t="s">
        <v>234</v>
      </c>
    </row>
    <row r="72">
      <c r="R72" s="67"/>
    </row>
    <row r="73">
      <c r="R73" s="66" t="s">
        <v>246</v>
      </c>
    </row>
    <row r="74">
      <c r="R74" s="67"/>
    </row>
    <row r="75">
      <c r="R75" s="66" t="s">
        <v>170</v>
      </c>
    </row>
    <row r="76">
      <c r="R76" s="67"/>
    </row>
    <row r="77">
      <c r="R77" s="66" t="s">
        <v>152</v>
      </c>
    </row>
    <row r="78">
      <c r="R78" s="67"/>
    </row>
    <row r="79">
      <c r="R79" s="66" t="s">
        <v>247</v>
      </c>
    </row>
    <row r="80">
      <c r="R80" s="67"/>
    </row>
    <row r="81">
      <c r="R81" s="66" t="s">
        <v>248</v>
      </c>
    </row>
    <row r="82">
      <c r="R82" s="67"/>
    </row>
    <row r="83">
      <c r="R83" s="66" t="s">
        <v>167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88"/>
  </cols>
  <sheetData>
    <row r="1">
      <c r="A1" s="14" t="s">
        <v>92</v>
      </c>
      <c r="B1" s="14" t="s">
        <v>94</v>
      </c>
      <c r="C1" s="14" t="s">
        <v>0</v>
      </c>
      <c r="D1" s="4" t="s">
        <v>249</v>
      </c>
      <c r="E1" s="4" t="s">
        <v>250</v>
      </c>
      <c r="F1" s="4" t="s">
        <v>251</v>
      </c>
      <c r="G1" s="4" t="s">
        <v>252</v>
      </c>
      <c r="K1" s="15" t="s">
        <v>253</v>
      </c>
      <c r="L1" s="15" t="s">
        <v>94</v>
      </c>
      <c r="M1" s="15" t="s">
        <v>0</v>
      </c>
      <c r="N1" s="15" t="s">
        <v>254</v>
      </c>
      <c r="O1" s="15" t="s">
        <v>255</v>
      </c>
      <c r="P1" s="15" t="s">
        <v>256</v>
      </c>
      <c r="Q1" s="4" t="s">
        <v>251</v>
      </c>
      <c r="R1" s="15"/>
      <c r="S1" s="15"/>
      <c r="T1" s="15"/>
      <c r="U1" s="15"/>
      <c r="V1" s="15"/>
    </row>
    <row r="2">
      <c r="A2" s="14" t="s">
        <v>97</v>
      </c>
      <c r="B2" s="14" t="s">
        <v>11</v>
      </c>
      <c r="C2" s="14" t="s">
        <v>13</v>
      </c>
      <c r="E2" s="7" t="str">
        <f t="shared" ref="E2:E8" si="1">FLOOR(F2/D2,1)</f>
        <v>#DIV/0!</v>
      </c>
      <c r="F2" s="7">
        <f t="shared" ref="F2:F29" si="2">26*8</f>
        <v>208</v>
      </c>
      <c r="G2" s="4" t="str">
        <f t="shared" ref="G2:G29" si="3">if(E2*D2&lt;F2,True)</f>
        <v>#DIV/0!</v>
      </c>
      <c r="I2" s="4" t="s">
        <v>257</v>
      </c>
      <c r="K2" s="17" t="s">
        <v>12</v>
      </c>
      <c r="L2" s="17" t="s">
        <v>11</v>
      </c>
      <c r="M2" s="17" t="s">
        <v>13</v>
      </c>
      <c r="N2" s="17">
        <v>5280.0</v>
      </c>
      <c r="O2" s="48" t="s">
        <v>258</v>
      </c>
      <c r="P2" s="4" t="s">
        <v>258</v>
      </c>
      <c r="Q2" s="7">
        <f t="shared" ref="Q2:Q29" si="4">26*8</f>
        <v>208</v>
      </c>
      <c r="R2" s="17"/>
      <c r="S2" s="17"/>
      <c r="T2" s="17"/>
      <c r="U2" s="17"/>
      <c r="V2" s="17"/>
    </row>
    <row r="3">
      <c r="A3" s="70" t="s">
        <v>97</v>
      </c>
      <c r="B3" s="70" t="s">
        <v>20</v>
      </c>
      <c r="C3" s="70" t="s">
        <v>13</v>
      </c>
      <c r="D3" s="71">
        <f>1046.393/45</f>
        <v>23.25317778</v>
      </c>
      <c r="E3" s="7">
        <f t="shared" si="1"/>
        <v>8</v>
      </c>
      <c r="F3" s="7">
        <f t="shared" si="2"/>
        <v>208</v>
      </c>
      <c r="G3" s="4" t="b">
        <f t="shared" si="3"/>
        <v>1</v>
      </c>
      <c r="I3" s="7">
        <f>COUNT(D3,D9,D10,D12,D13,D14,D16,D18,D19,D20,D21,D24,D27,D28)</f>
        <v>14</v>
      </c>
      <c r="K3" s="17" t="s">
        <v>18</v>
      </c>
      <c r="L3" s="17" t="s">
        <v>17</v>
      </c>
      <c r="M3" s="17" t="s">
        <v>13</v>
      </c>
      <c r="N3" s="17">
        <v>1640.0</v>
      </c>
      <c r="O3" s="72">
        <f>275.58/45</f>
        <v>6.124</v>
      </c>
      <c r="P3" s="7">
        <f>FLOOR(Q3/O3,1)</f>
        <v>33</v>
      </c>
      <c r="Q3" s="7">
        <f t="shared" si="4"/>
        <v>208</v>
      </c>
      <c r="R3" s="17"/>
      <c r="S3" s="17"/>
      <c r="T3" s="17"/>
      <c r="U3" s="17"/>
      <c r="V3" s="17"/>
    </row>
    <row r="4">
      <c r="A4" s="14" t="s">
        <v>97</v>
      </c>
      <c r="B4" s="14" t="s">
        <v>88</v>
      </c>
      <c r="C4" s="14" t="s">
        <v>127</v>
      </c>
      <c r="E4" s="7" t="str">
        <f t="shared" si="1"/>
        <v>#DIV/0!</v>
      </c>
      <c r="F4" s="7">
        <f t="shared" si="2"/>
        <v>208</v>
      </c>
      <c r="G4" s="4" t="str">
        <f t="shared" si="3"/>
        <v>#DIV/0!</v>
      </c>
      <c r="K4" s="17" t="s">
        <v>21</v>
      </c>
      <c r="L4" s="17" t="s">
        <v>20</v>
      </c>
      <c r="M4" s="17" t="s">
        <v>13</v>
      </c>
      <c r="N4" s="17">
        <v>1600.0</v>
      </c>
      <c r="O4" s="71">
        <f>1046.393/45</f>
        <v>23.25317778</v>
      </c>
      <c r="P4" s="4">
        <v>8.0</v>
      </c>
      <c r="Q4" s="7">
        <f t="shared" si="4"/>
        <v>208</v>
      </c>
      <c r="R4" s="17"/>
      <c r="S4" s="17"/>
      <c r="T4" s="17"/>
      <c r="U4" s="17"/>
      <c r="V4" s="17"/>
    </row>
    <row r="5">
      <c r="A5" s="14" t="s">
        <v>97</v>
      </c>
      <c r="B5" s="14" t="s">
        <v>89</v>
      </c>
      <c r="C5" s="14" t="s">
        <v>127</v>
      </c>
      <c r="D5" s="48"/>
      <c r="E5" s="7" t="str">
        <f t="shared" si="1"/>
        <v>#DIV/0!</v>
      </c>
      <c r="F5" s="7">
        <f t="shared" si="2"/>
        <v>208</v>
      </c>
      <c r="G5" s="4" t="str">
        <f t="shared" si="3"/>
        <v>#DIV/0!</v>
      </c>
      <c r="K5" s="17" t="s">
        <v>24</v>
      </c>
      <c r="L5" s="17" t="s">
        <v>23</v>
      </c>
      <c r="M5" s="17" t="s">
        <v>13</v>
      </c>
      <c r="N5" s="17">
        <v>2920.0</v>
      </c>
      <c r="O5" s="73">
        <f>357.38/45</f>
        <v>7.941777778</v>
      </c>
      <c r="P5" s="4">
        <v>26.0</v>
      </c>
      <c r="Q5" s="7">
        <f t="shared" si="4"/>
        <v>208</v>
      </c>
      <c r="R5" s="17"/>
      <c r="S5" s="17"/>
      <c r="T5" s="17"/>
      <c r="U5" s="17"/>
      <c r="V5" s="17"/>
    </row>
    <row r="6">
      <c r="A6" s="14" t="s">
        <v>97</v>
      </c>
      <c r="B6" s="14" t="s">
        <v>90</v>
      </c>
      <c r="C6" s="14" t="s">
        <v>127</v>
      </c>
      <c r="E6" s="7" t="str">
        <f t="shared" si="1"/>
        <v>#DIV/0!</v>
      </c>
      <c r="F6" s="7">
        <f t="shared" si="2"/>
        <v>208</v>
      </c>
      <c r="G6" s="4" t="str">
        <f t="shared" si="3"/>
        <v>#DIV/0!</v>
      </c>
      <c r="K6" s="17" t="s">
        <v>27</v>
      </c>
      <c r="L6" s="17" t="s">
        <v>26</v>
      </c>
      <c r="M6" s="17" t="s">
        <v>13</v>
      </c>
      <c r="N6" s="17">
        <v>3400.0</v>
      </c>
      <c r="O6" s="74">
        <f>396.91/45</f>
        <v>8.820222222</v>
      </c>
      <c r="P6" s="7">
        <f t="shared" ref="P6:P7" si="5">FLOOR(Q6/O6,1)</f>
        <v>23</v>
      </c>
      <c r="Q6" s="7">
        <f t="shared" si="4"/>
        <v>208</v>
      </c>
      <c r="R6" s="17"/>
      <c r="S6" s="17"/>
      <c r="T6" s="17"/>
      <c r="U6" s="17"/>
      <c r="V6" s="17"/>
    </row>
    <row r="7">
      <c r="A7" s="14" t="s">
        <v>97</v>
      </c>
      <c r="B7" s="14" t="s">
        <v>91</v>
      </c>
      <c r="C7" s="14" t="s">
        <v>127</v>
      </c>
      <c r="E7" s="7" t="str">
        <f t="shared" si="1"/>
        <v>#DIV/0!</v>
      </c>
      <c r="F7" s="7">
        <f t="shared" si="2"/>
        <v>208</v>
      </c>
      <c r="G7" s="4" t="str">
        <f t="shared" si="3"/>
        <v>#DIV/0!</v>
      </c>
      <c r="K7" s="17" t="s">
        <v>30</v>
      </c>
      <c r="L7" s="17" t="s">
        <v>29</v>
      </c>
      <c r="M7" s="17" t="s">
        <v>13</v>
      </c>
      <c r="N7" s="17">
        <v>1560.0</v>
      </c>
      <c r="O7" s="75">
        <f>589.5/45</f>
        <v>13.1</v>
      </c>
      <c r="P7" s="7">
        <f t="shared" si="5"/>
        <v>15</v>
      </c>
      <c r="Q7" s="7">
        <f t="shared" si="4"/>
        <v>208</v>
      </c>
      <c r="R7" s="17"/>
      <c r="S7" s="17"/>
      <c r="T7" s="17"/>
      <c r="U7" s="17"/>
      <c r="V7" s="17"/>
    </row>
    <row r="8">
      <c r="A8" s="14" t="s">
        <v>98</v>
      </c>
      <c r="B8" s="14" t="s">
        <v>82</v>
      </c>
      <c r="C8" s="14" t="s">
        <v>128</v>
      </c>
      <c r="E8" s="7" t="str">
        <f t="shared" si="1"/>
        <v>#DIV/0!</v>
      </c>
      <c r="F8" s="7">
        <f t="shared" si="2"/>
        <v>208</v>
      </c>
      <c r="G8" s="4" t="str">
        <f t="shared" si="3"/>
        <v>#DIV/0!</v>
      </c>
      <c r="K8" s="17" t="s">
        <v>65</v>
      </c>
      <c r="L8" s="17" t="s">
        <v>58</v>
      </c>
      <c r="M8" s="17" t="s">
        <v>66</v>
      </c>
      <c r="N8" s="17">
        <v>2880.0</v>
      </c>
      <c r="O8" s="76">
        <f>161.958/45</f>
        <v>3.599066667</v>
      </c>
      <c r="P8" s="7">
        <f t="shared" ref="P8:P9" si="6">FLOOR(208/O8,1)</f>
        <v>57</v>
      </c>
      <c r="Q8" s="7">
        <f t="shared" si="4"/>
        <v>208</v>
      </c>
      <c r="R8" s="17"/>
      <c r="S8" s="17"/>
      <c r="T8" s="17"/>
      <c r="U8" s="17"/>
      <c r="V8" s="17"/>
    </row>
    <row r="9">
      <c r="A9" s="77" t="s">
        <v>98</v>
      </c>
      <c r="B9" s="77" t="s">
        <v>58</v>
      </c>
      <c r="C9" s="77" t="s">
        <v>66</v>
      </c>
      <c r="D9" s="76">
        <f>161.958/45</f>
        <v>3.599066667</v>
      </c>
      <c r="E9" s="7">
        <f t="shared" ref="E9:E17" si="7">FLOOR(208/D9,1)</f>
        <v>57</v>
      </c>
      <c r="F9" s="7">
        <f t="shared" si="2"/>
        <v>208</v>
      </c>
      <c r="G9" s="4" t="b">
        <f t="shared" si="3"/>
        <v>1</v>
      </c>
      <c r="K9" s="17" t="s">
        <v>68</v>
      </c>
      <c r="L9" s="17" t="s">
        <v>59</v>
      </c>
      <c r="M9" s="17" t="s">
        <v>66</v>
      </c>
      <c r="N9" s="17">
        <v>5280.0</v>
      </c>
      <c r="O9" s="71">
        <f>203.111/45</f>
        <v>4.513577778</v>
      </c>
      <c r="P9" s="7">
        <f t="shared" si="6"/>
        <v>46</v>
      </c>
      <c r="Q9" s="7">
        <f t="shared" si="4"/>
        <v>208</v>
      </c>
      <c r="R9" s="17"/>
      <c r="S9" s="17"/>
      <c r="T9" s="17"/>
      <c r="U9" s="17"/>
      <c r="V9" s="17"/>
    </row>
    <row r="10">
      <c r="A10" s="70" t="s">
        <v>98</v>
      </c>
      <c r="B10" s="70" t="s">
        <v>59</v>
      </c>
      <c r="C10" s="70" t="s">
        <v>66</v>
      </c>
      <c r="D10" s="71">
        <f>203.111/45</f>
        <v>4.513577778</v>
      </c>
      <c r="E10" s="7">
        <f t="shared" si="7"/>
        <v>46</v>
      </c>
      <c r="F10" s="7">
        <f t="shared" si="2"/>
        <v>208</v>
      </c>
      <c r="G10" s="4" t="b">
        <f t="shared" si="3"/>
        <v>1</v>
      </c>
      <c r="K10" s="17" t="s">
        <v>70</v>
      </c>
      <c r="L10" s="17" t="s">
        <v>62</v>
      </c>
      <c r="M10" s="17" t="s">
        <v>66</v>
      </c>
      <c r="N10" s="17">
        <v>520.0</v>
      </c>
      <c r="O10" s="17" t="s">
        <v>258</v>
      </c>
      <c r="P10" s="17" t="s">
        <v>258</v>
      </c>
      <c r="Q10" s="7">
        <f t="shared" si="4"/>
        <v>208</v>
      </c>
      <c r="R10" s="17"/>
      <c r="S10" s="17"/>
      <c r="T10" s="17"/>
      <c r="U10" s="17"/>
      <c r="V10" s="17"/>
    </row>
    <row r="11">
      <c r="A11" s="14" t="s">
        <v>98</v>
      </c>
      <c r="B11" s="14" t="s">
        <v>62</v>
      </c>
      <c r="C11" s="14" t="s">
        <v>66</v>
      </c>
      <c r="E11" s="7" t="str">
        <f t="shared" si="7"/>
        <v>#DIV/0!</v>
      </c>
      <c r="F11" s="7">
        <f t="shared" si="2"/>
        <v>208</v>
      </c>
      <c r="G11" s="4" t="str">
        <f t="shared" si="3"/>
        <v>#DIV/0!</v>
      </c>
      <c r="K11" s="17" t="s">
        <v>72</v>
      </c>
      <c r="L11" s="17" t="s">
        <v>63</v>
      </c>
      <c r="M11" s="17" t="s">
        <v>66</v>
      </c>
      <c r="N11" s="17">
        <v>5280.0</v>
      </c>
      <c r="O11" s="78">
        <f>59.2/45</f>
        <v>1.315555556</v>
      </c>
      <c r="P11" s="7">
        <f t="shared" ref="P11:P13" si="8">FLOOR(208/O11,1)</f>
        <v>158</v>
      </c>
      <c r="Q11" s="7">
        <f t="shared" si="4"/>
        <v>208</v>
      </c>
      <c r="R11" s="17"/>
      <c r="S11" s="17"/>
      <c r="T11" s="17"/>
      <c r="U11" s="17"/>
      <c r="V11" s="17"/>
    </row>
    <row r="12">
      <c r="A12" s="79" t="s">
        <v>98</v>
      </c>
      <c r="B12" s="79" t="s">
        <v>63</v>
      </c>
      <c r="C12" s="79" t="s">
        <v>66</v>
      </c>
      <c r="D12" s="78">
        <f>59.2/45</f>
        <v>1.315555556</v>
      </c>
      <c r="E12" s="7">
        <f t="shared" si="7"/>
        <v>158</v>
      </c>
      <c r="F12" s="7">
        <f t="shared" si="2"/>
        <v>208</v>
      </c>
      <c r="G12" s="4" t="b">
        <f t="shared" si="3"/>
        <v>1</v>
      </c>
      <c r="K12" s="17" t="s">
        <v>74</v>
      </c>
      <c r="L12" s="17" t="s">
        <v>69</v>
      </c>
      <c r="M12" s="17" t="s">
        <v>66</v>
      </c>
      <c r="N12" s="17">
        <v>1040.0</v>
      </c>
      <c r="O12" s="78">
        <f>343.092/45</f>
        <v>7.624266667</v>
      </c>
      <c r="P12" s="7">
        <f t="shared" si="8"/>
        <v>27</v>
      </c>
      <c r="Q12" s="7">
        <f t="shared" si="4"/>
        <v>208</v>
      </c>
      <c r="R12" s="17"/>
      <c r="S12" s="17"/>
      <c r="T12" s="17"/>
      <c r="U12" s="17"/>
      <c r="V12" s="17"/>
    </row>
    <row r="13">
      <c r="A13" s="79" t="s">
        <v>98</v>
      </c>
      <c r="B13" s="79" t="s">
        <v>69</v>
      </c>
      <c r="C13" s="79" t="s">
        <v>66</v>
      </c>
      <c r="D13" s="78">
        <f>343.092/45</f>
        <v>7.624266667</v>
      </c>
      <c r="E13" s="7">
        <f t="shared" si="7"/>
        <v>27</v>
      </c>
      <c r="F13" s="7">
        <f t="shared" si="2"/>
        <v>208</v>
      </c>
      <c r="G13" s="4" t="b">
        <f t="shared" si="3"/>
        <v>1</v>
      </c>
      <c r="K13" s="17" t="s">
        <v>77</v>
      </c>
      <c r="L13" s="17" t="s">
        <v>76</v>
      </c>
      <c r="M13" s="17" t="s">
        <v>66</v>
      </c>
      <c r="N13" s="17">
        <v>5280.0</v>
      </c>
      <c r="O13" s="80">
        <f>352.4/45</f>
        <v>7.831111111</v>
      </c>
      <c r="P13" s="7">
        <f t="shared" si="8"/>
        <v>26</v>
      </c>
      <c r="Q13" s="7">
        <f t="shared" si="4"/>
        <v>208</v>
      </c>
      <c r="R13" s="17"/>
      <c r="S13" s="17"/>
      <c r="T13" s="17"/>
      <c r="U13" s="17"/>
      <c r="V13" s="17"/>
    </row>
    <row r="14">
      <c r="A14" s="79" t="s">
        <v>98</v>
      </c>
      <c r="B14" s="79" t="s">
        <v>76</v>
      </c>
      <c r="C14" s="79" t="s">
        <v>66</v>
      </c>
      <c r="D14" s="80">
        <f>352.4/45</f>
        <v>7.831111111</v>
      </c>
      <c r="E14" s="7">
        <f t="shared" si="7"/>
        <v>26</v>
      </c>
      <c r="F14" s="7">
        <f t="shared" si="2"/>
        <v>208</v>
      </c>
      <c r="G14" s="4" t="b">
        <f t="shared" si="3"/>
        <v>1</v>
      </c>
      <c r="K14" s="17" t="s">
        <v>79</v>
      </c>
      <c r="L14" s="17" t="s">
        <v>78</v>
      </c>
      <c r="M14" s="17" t="s">
        <v>66</v>
      </c>
      <c r="N14" s="17">
        <v>1800.0</v>
      </c>
      <c r="O14" s="17" t="s">
        <v>258</v>
      </c>
      <c r="P14" s="17" t="s">
        <v>258</v>
      </c>
      <c r="Q14" s="7">
        <f t="shared" si="4"/>
        <v>208</v>
      </c>
      <c r="R14" s="17"/>
      <c r="S14" s="17"/>
      <c r="T14" s="17"/>
      <c r="U14" s="17"/>
      <c r="V14" s="17"/>
    </row>
    <row r="15">
      <c r="A15" s="14" t="s">
        <v>98</v>
      </c>
      <c r="B15" s="14" t="s">
        <v>78</v>
      </c>
      <c r="C15" s="14" t="s">
        <v>66</v>
      </c>
      <c r="E15" s="7" t="str">
        <f t="shared" si="7"/>
        <v>#DIV/0!</v>
      </c>
      <c r="F15" s="7">
        <f t="shared" si="2"/>
        <v>208</v>
      </c>
      <c r="G15" s="4" t="str">
        <f t="shared" si="3"/>
        <v>#DIV/0!</v>
      </c>
      <c r="K15" s="17" t="s">
        <v>81</v>
      </c>
      <c r="L15" s="17" t="s">
        <v>80</v>
      </c>
      <c r="M15" s="17" t="s">
        <v>66</v>
      </c>
      <c r="N15" s="17">
        <v>1000.0</v>
      </c>
      <c r="O15" s="78">
        <f>212.077/45</f>
        <v>4.712822222</v>
      </c>
      <c r="P15" s="7">
        <f>FLOOR(208/O15,1)</f>
        <v>44</v>
      </c>
      <c r="Q15" s="7">
        <f t="shared" si="4"/>
        <v>208</v>
      </c>
      <c r="R15" s="17"/>
      <c r="S15" s="17"/>
      <c r="T15" s="17"/>
      <c r="U15" s="17"/>
      <c r="V15" s="17"/>
    </row>
    <row r="16">
      <c r="A16" s="79" t="s">
        <v>98</v>
      </c>
      <c r="B16" s="79" t="s">
        <v>80</v>
      </c>
      <c r="C16" s="79" t="s">
        <v>66</v>
      </c>
      <c r="D16" s="78">
        <f>212.077/45</f>
        <v>4.712822222</v>
      </c>
      <c r="E16" s="7">
        <f t="shared" si="7"/>
        <v>44</v>
      </c>
      <c r="F16" s="7">
        <f t="shared" si="2"/>
        <v>208</v>
      </c>
      <c r="G16" s="4" t="b">
        <f t="shared" si="3"/>
        <v>1</v>
      </c>
      <c r="K16" s="17" t="s">
        <v>84</v>
      </c>
      <c r="L16" s="17" t="s">
        <v>83</v>
      </c>
      <c r="M16" s="17" t="s">
        <v>66</v>
      </c>
      <c r="N16" s="17">
        <v>520.0</v>
      </c>
      <c r="O16" s="17" t="s">
        <v>258</v>
      </c>
      <c r="P16" s="17" t="s">
        <v>258</v>
      </c>
      <c r="Q16" s="7">
        <f t="shared" si="4"/>
        <v>208</v>
      </c>
      <c r="R16" s="17"/>
      <c r="S16" s="17"/>
      <c r="T16" s="17"/>
      <c r="U16" s="17"/>
      <c r="V16" s="17"/>
    </row>
    <row r="17">
      <c r="A17" s="14" t="s">
        <v>98</v>
      </c>
      <c r="B17" s="14" t="s">
        <v>83</v>
      </c>
      <c r="C17" s="14" t="s">
        <v>66</v>
      </c>
      <c r="E17" s="7" t="str">
        <f t="shared" si="7"/>
        <v>#DIV/0!</v>
      </c>
      <c r="F17" s="7">
        <f t="shared" si="2"/>
        <v>208</v>
      </c>
      <c r="G17" s="4" t="str">
        <f t="shared" si="3"/>
        <v>#DIV/0!</v>
      </c>
      <c r="K17" s="17" t="s">
        <v>259</v>
      </c>
      <c r="L17" s="17" t="s">
        <v>25</v>
      </c>
      <c r="M17" s="17" t="s">
        <v>127</v>
      </c>
      <c r="N17" s="17">
        <v>200.0</v>
      </c>
      <c r="O17" s="17" t="s">
        <v>258</v>
      </c>
      <c r="P17" s="17" t="s">
        <v>258</v>
      </c>
      <c r="Q17" s="7">
        <f t="shared" si="4"/>
        <v>208</v>
      </c>
      <c r="R17" s="17"/>
      <c r="S17" s="17"/>
      <c r="T17" s="17"/>
      <c r="U17" s="17"/>
      <c r="V17" s="17"/>
    </row>
    <row r="18">
      <c r="A18" s="79" t="s">
        <v>10</v>
      </c>
      <c r="B18" s="79" t="s">
        <v>17</v>
      </c>
      <c r="C18" s="79" t="s">
        <v>13</v>
      </c>
      <c r="D18" s="72">
        <f>275.58/45</f>
        <v>6.124</v>
      </c>
      <c r="E18" s="7">
        <f>FLOOR(F18/D18,1)</f>
        <v>33</v>
      </c>
      <c r="F18" s="7">
        <f t="shared" si="2"/>
        <v>208</v>
      </c>
      <c r="G18" s="4" t="b">
        <f t="shared" si="3"/>
        <v>1</v>
      </c>
      <c r="K18" s="17" t="s">
        <v>260</v>
      </c>
      <c r="L18" s="17" t="s">
        <v>88</v>
      </c>
      <c r="M18" s="17" t="s">
        <v>127</v>
      </c>
      <c r="N18" s="17">
        <v>400.0</v>
      </c>
      <c r="O18" s="17" t="s">
        <v>258</v>
      </c>
      <c r="P18" s="17" t="s">
        <v>258</v>
      </c>
      <c r="Q18" s="7">
        <f t="shared" si="4"/>
        <v>208</v>
      </c>
      <c r="R18" s="17"/>
      <c r="S18" s="17"/>
      <c r="T18" s="17"/>
      <c r="U18" s="17"/>
      <c r="V18" s="17"/>
    </row>
    <row r="19">
      <c r="A19" s="81" t="s">
        <v>10</v>
      </c>
      <c r="B19" s="81" t="s">
        <v>23</v>
      </c>
      <c r="C19" s="81" t="s">
        <v>13</v>
      </c>
      <c r="D19" s="73">
        <f>357.38/45</f>
        <v>7.941777778</v>
      </c>
      <c r="E19" s="4">
        <v>26.0</v>
      </c>
      <c r="F19" s="7">
        <f t="shared" si="2"/>
        <v>208</v>
      </c>
      <c r="G19" s="4" t="b">
        <f t="shared" si="3"/>
        <v>1</v>
      </c>
      <c r="K19" s="17" t="s">
        <v>261</v>
      </c>
      <c r="L19" s="17" t="s">
        <v>32</v>
      </c>
      <c r="M19" s="17" t="s">
        <v>127</v>
      </c>
      <c r="N19" s="17">
        <v>600.0</v>
      </c>
      <c r="O19" s="17" t="s">
        <v>258</v>
      </c>
      <c r="P19" s="17" t="s">
        <v>258</v>
      </c>
      <c r="Q19" s="7">
        <f t="shared" si="4"/>
        <v>208</v>
      </c>
      <c r="R19" s="17"/>
      <c r="S19" s="17"/>
      <c r="T19" s="17"/>
      <c r="U19" s="17"/>
      <c r="V19" s="17"/>
    </row>
    <row r="20">
      <c r="A20" s="82" t="s">
        <v>10</v>
      </c>
      <c r="B20" s="82" t="s">
        <v>26</v>
      </c>
      <c r="C20" s="82" t="s">
        <v>13</v>
      </c>
      <c r="D20" s="74">
        <f>396.91/45</f>
        <v>8.820222222</v>
      </c>
      <c r="E20" s="7">
        <f t="shared" ref="E20:E29" si="9">FLOOR(F20/D20,1)</f>
        <v>23</v>
      </c>
      <c r="F20" s="7">
        <f t="shared" si="2"/>
        <v>208</v>
      </c>
      <c r="G20" s="4" t="b">
        <f t="shared" si="3"/>
        <v>1</v>
      </c>
      <c r="K20" s="17" t="s">
        <v>262</v>
      </c>
      <c r="L20" s="17" t="s">
        <v>34</v>
      </c>
      <c r="M20" s="17" t="s">
        <v>127</v>
      </c>
      <c r="N20" s="17">
        <v>1120.0</v>
      </c>
      <c r="O20" s="83">
        <f>134.66/45</f>
        <v>2.992444444</v>
      </c>
      <c r="P20" s="7">
        <f>FLOOR(Q20/O20,1)</f>
        <v>69</v>
      </c>
      <c r="Q20" s="7">
        <f t="shared" si="4"/>
        <v>208</v>
      </c>
      <c r="R20" s="17"/>
      <c r="S20" s="17"/>
      <c r="T20" s="17"/>
      <c r="U20" s="17"/>
      <c r="V20" s="17"/>
    </row>
    <row r="21">
      <c r="A21" s="82" t="s">
        <v>10</v>
      </c>
      <c r="B21" s="82" t="s">
        <v>29</v>
      </c>
      <c r="C21" s="82" t="s">
        <v>13</v>
      </c>
      <c r="D21" s="75">
        <f>589.5/45</f>
        <v>13.1</v>
      </c>
      <c r="E21" s="7">
        <f t="shared" si="9"/>
        <v>15</v>
      </c>
      <c r="F21" s="7">
        <f t="shared" si="2"/>
        <v>208</v>
      </c>
      <c r="G21" s="4" t="b">
        <f t="shared" si="3"/>
        <v>1</v>
      </c>
      <c r="K21" s="17" t="s">
        <v>263</v>
      </c>
      <c r="L21" s="17" t="s">
        <v>89</v>
      </c>
      <c r="M21" s="17" t="s">
        <v>127</v>
      </c>
      <c r="N21" s="17">
        <v>1240.0</v>
      </c>
      <c r="O21" s="17" t="s">
        <v>258</v>
      </c>
      <c r="P21" s="17" t="s">
        <v>258</v>
      </c>
      <c r="Q21" s="7">
        <f t="shared" si="4"/>
        <v>208</v>
      </c>
      <c r="R21" s="17"/>
      <c r="S21" s="17"/>
      <c r="T21" s="17"/>
      <c r="U21" s="17"/>
      <c r="V21" s="17"/>
    </row>
    <row r="22">
      <c r="A22" s="14" t="s">
        <v>10</v>
      </c>
      <c r="B22" s="14" t="s">
        <v>25</v>
      </c>
      <c r="C22" s="14" t="s">
        <v>127</v>
      </c>
      <c r="E22" s="7" t="str">
        <f t="shared" si="9"/>
        <v>#DIV/0!</v>
      </c>
      <c r="F22" s="7">
        <f t="shared" si="2"/>
        <v>208</v>
      </c>
      <c r="G22" s="4" t="str">
        <f t="shared" si="3"/>
        <v>#DIV/0!</v>
      </c>
      <c r="K22" s="17" t="s">
        <v>264</v>
      </c>
      <c r="L22" s="17" t="s">
        <v>39</v>
      </c>
      <c r="M22" s="17" t="s">
        <v>127</v>
      </c>
      <c r="N22" s="17">
        <v>320.0</v>
      </c>
      <c r="O22" s="17" t="s">
        <v>258</v>
      </c>
      <c r="P22" s="17" t="s">
        <v>258</v>
      </c>
      <c r="Q22" s="7">
        <f t="shared" si="4"/>
        <v>208</v>
      </c>
      <c r="R22" s="17"/>
      <c r="S22" s="17"/>
      <c r="T22" s="17"/>
      <c r="U22" s="17"/>
      <c r="V22" s="17"/>
    </row>
    <row r="23">
      <c r="A23" s="14" t="s">
        <v>10</v>
      </c>
      <c r="B23" s="14" t="s">
        <v>32</v>
      </c>
      <c r="C23" s="14" t="s">
        <v>127</v>
      </c>
      <c r="E23" s="7" t="str">
        <f t="shared" si="9"/>
        <v>#DIV/0!</v>
      </c>
      <c r="F23" s="7">
        <f t="shared" si="2"/>
        <v>208</v>
      </c>
      <c r="G23" s="4" t="str">
        <f t="shared" si="3"/>
        <v>#DIV/0!</v>
      </c>
      <c r="K23" s="17" t="s">
        <v>265</v>
      </c>
      <c r="L23" s="17" t="s">
        <v>40</v>
      </c>
      <c r="M23" s="17" t="s">
        <v>127</v>
      </c>
      <c r="N23" s="17">
        <v>400.0</v>
      </c>
      <c r="O23" s="17" t="s">
        <v>258</v>
      </c>
      <c r="P23" s="17" t="s">
        <v>258</v>
      </c>
      <c r="Q23" s="7">
        <f t="shared" si="4"/>
        <v>208</v>
      </c>
      <c r="R23" s="17"/>
      <c r="S23" s="17"/>
      <c r="T23" s="17"/>
      <c r="U23" s="17"/>
      <c r="V23" s="17"/>
    </row>
    <row r="24">
      <c r="A24" s="81" t="s">
        <v>10</v>
      </c>
      <c r="B24" s="81" t="s">
        <v>34</v>
      </c>
      <c r="C24" s="81" t="s">
        <v>127</v>
      </c>
      <c r="D24" s="83">
        <f>134.66/45</f>
        <v>2.992444444</v>
      </c>
      <c r="E24" s="7">
        <f t="shared" si="9"/>
        <v>69</v>
      </c>
      <c r="F24" s="7">
        <f t="shared" si="2"/>
        <v>208</v>
      </c>
      <c r="G24" s="4" t="b">
        <f t="shared" si="3"/>
        <v>1</v>
      </c>
      <c r="K24" s="17" t="s">
        <v>266</v>
      </c>
      <c r="L24" s="17" t="s">
        <v>90</v>
      </c>
      <c r="M24" s="17" t="s">
        <v>127</v>
      </c>
      <c r="N24" s="17">
        <v>960.0</v>
      </c>
      <c r="O24" s="17" t="s">
        <v>258</v>
      </c>
      <c r="P24" s="17" t="s">
        <v>258</v>
      </c>
      <c r="Q24" s="7">
        <f t="shared" si="4"/>
        <v>208</v>
      </c>
      <c r="R24" s="17"/>
      <c r="S24" s="17"/>
      <c r="T24" s="17"/>
      <c r="U24" s="17"/>
      <c r="V24" s="17"/>
    </row>
    <row r="25">
      <c r="A25" s="14" t="s">
        <v>10</v>
      </c>
      <c r="B25" s="14" t="s">
        <v>39</v>
      </c>
      <c r="C25" s="14" t="s">
        <v>127</v>
      </c>
      <c r="E25" s="7" t="str">
        <f t="shared" si="9"/>
        <v>#DIV/0!</v>
      </c>
      <c r="F25" s="7">
        <f t="shared" si="2"/>
        <v>208</v>
      </c>
      <c r="G25" s="4" t="str">
        <f t="shared" si="3"/>
        <v>#DIV/0!</v>
      </c>
      <c r="K25" s="17" t="s">
        <v>267</v>
      </c>
      <c r="L25" s="17" t="s">
        <v>43</v>
      </c>
      <c r="M25" s="17" t="s">
        <v>127</v>
      </c>
      <c r="N25" s="17">
        <v>1640.0</v>
      </c>
      <c r="O25" s="84">
        <f>138.45/45</f>
        <v>3.076666667</v>
      </c>
      <c r="P25" s="85">
        <f t="shared" ref="P25:P26" si="10">FLOOR(Q25/O25,1)</f>
        <v>67</v>
      </c>
      <c r="Q25" s="7">
        <f t="shared" si="4"/>
        <v>208</v>
      </c>
      <c r="R25" s="17"/>
      <c r="S25" s="17"/>
      <c r="T25" s="17"/>
      <c r="U25" s="17"/>
      <c r="V25" s="17"/>
    </row>
    <row r="26">
      <c r="A26" s="14" t="s">
        <v>10</v>
      </c>
      <c r="B26" s="14" t="s">
        <v>40</v>
      </c>
      <c r="C26" s="14" t="s">
        <v>127</v>
      </c>
      <c r="E26" s="7" t="str">
        <f t="shared" si="9"/>
        <v>#DIV/0!</v>
      </c>
      <c r="F26" s="7">
        <f t="shared" si="2"/>
        <v>208</v>
      </c>
      <c r="G26" s="4" t="str">
        <f t="shared" si="3"/>
        <v>#DIV/0!</v>
      </c>
      <c r="K26" s="17" t="s">
        <v>268</v>
      </c>
      <c r="L26" s="17" t="s">
        <v>45</v>
      </c>
      <c r="M26" s="17" t="s">
        <v>127</v>
      </c>
      <c r="N26" s="17">
        <v>1480.0</v>
      </c>
      <c r="O26" s="86">
        <f>103.54/45</f>
        <v>2.300888889</v>
      </c>
      <c r="P26" s="85">
        <f t="shared" si="10"/>
        <v>90</v>
      </c>
      <c r="Q26" s="7">
        <f t="shared" si="4"/>
        <v>208</v>
      </c>
      <c r="R26" s="17"/>
      <c r="S26" s="17"/>
      <c r="T26" s="17"/>
      <c r="U26" s="17"/>
      <c r="V26" s="17"/>
    </row>
    <row r="27">
      <c r="A27" s="32" t="s">
        <v>10</v>
      </c>
      <c r="B27" s="32" t="s">
        <v>43</v>
      </c>
      <c r="C27" s="32" t="s">
        <v>127</v>
      </c>
      <c r="D27" s="84">
        <f>138.45/45</f>
        <v>3.076666667</v>
      </c>
      <c r="E27" s="7">
        <f t="shared" si="9"/>
        <v>67</v>
      </c>
      <c r="F27" s="7">
        <f t="shared" si="2"/>
        <v>208</v>
      </c>
      <c r="G27" s="4" t="b">
        <f t="shared" si="3"/>
        <v>1</v>
      </c>
      <c r="K27" s="17" t="s">
        <v>269</v>
      </c>
      <c r="L27" s="17" t="s">
        <v>48</v>
      </c>
      <c r="M27" s="17" t="s">
        <v>127</v>
      </c>
      <c r="N27" s="17">
        <v>800.0</v>
      </c>
      <c r="O27" s="17" t="s">
        <v>258</v>
      </c>
      <c r="P27" s="17" t="s">
        <v>258</v>
      </c>
      <c r="Q27" s="7">
        <f t="shared" si="4"/>
        <v>208</v>
      </c>
      <c r="R27" s="17"/>
      <c r="S27" s="17"/>
      <c r="T27" s="17"/>
      <c r="U27" s="17"/>
      <c r="V27" s="17"/>
    </row>
    <row r="28">
      <c r="A28" s="32" t="s">
        <v>10</v>
      </c>
      <c r="B28" s="32" t="s">
        <v>45</v>
      </c>
      <c r="C28" s="32" t="s">
        <v>127</v>
      </c>
      <c r="D28" s="87">
        <f>103.54/45</f>
        <v>2.300888889</v>
      </c>
      <c r="E28" s="7">
        <f t="shared" si="9"/>
        <v>90</v>
      </c>
      <c r="F28" s="7">
        <f t="shared" si="2"/>
        <v>208</v>
      </c>
      <c r="G28" s="4" t="b">
        <f t="shared" si="3"/>
        <v>1</v>
      </c>
      <c r="K28" s="17" t="s">
        <v>270</v>
      </c>
      <c r="L28" s="17" t="s">
        <v>91</v>
      </c>
      <c r="M28" s="17" t="s">
        <v>127</v>
      </c>
      <c r="N28" s="17">
        <v>320.0</v>
      </c>
      <c r="O28" s="17" t="s">
        <v>258</v>
      </c>
      <c r="P28" s="17" t="s">
        <v>258</v>
      </c>
      <c r="Q28" s="7">
        <f t="shared" si="4"/>
        <v>208</v>
      </c>
      <c r="R28" s="17"/>
      <c r="S28" s="17"/>
      <c r="T28" s="17"/>
      <c r="U28" s="17"/>
      <c r="V28" s="17"/>
    </row>
    <row r="29">
      <c r="A29" s="14" t="s">
        <v>10</v>
      </c>
      <c r="B29" s="14" t="s">
        <v>48</v>
      </c>
      <c r="C29" s="14" t="s">
        <v>127</v>
      </c>
      <c r="E29" s="7" t="str">
        <f t="shared" si="9"/>
        <v>#DIV/0!</v>
      </c>
      <c r="F29" s="7">
        <f t="shared" si="2"/>
        <v>208</v>
      </c>
      <c r="G29" s="4" t="str">
        <f t="shared" si="3"/>
        <v>#DIV/0!</v>
      </c>
      <c r="Q29" s="7">
        <f t="shared" si="4"/>
        <v>208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3.75"/>
    <col customWidth="1" min="4" max="4" width="19.25"/>
    <col customWidth="1" min="5" max="5" width="13.25"/>
    <col customWidth="1" min="7" max="7" width="15.13"/>
    <col customWidth="1" min="8" max="8" width="14.13"/>
    <col customWidth="1" min="20" max="20" width="14.5"/>
    <col customWidth="1" min="23" max="23" width="15.25"/>
  </cols>
  <sheetData>
    <row r="1">
      <c r="A1" s="88" t="s">
        <v>271</v>
      </c>
      <c r="B1" s="89" t="s">
        <v>272</v>
      </c>
      <c r="C1" s="89" t="s">
        <v>273</v>
      </c>
      <c r="D1" s="89" t="s">
        <v>274</v>
      </c>
      <c r="E1" s="90" t="s">
        <v>275</v>
      </c>
    </row>
    <row r="2">
      <c r="A2" s="91" t="s">
        <v>65</v>
      </c>
      <c r="B2" s="92" t="s">
        <v>58</v>
      </c>
      <c r="C2" s="93" t="s">
        <v>276</v>
      </c>
      <c r="D2" s="92" t="s">
        <v>73</v>
      </c>
      <c r="E2" s="94">
        <v>161.958</v>
      </c>
      <c r="F2" s="7">
        <f t="shared" ref="F2:F7" si="1">E2*2</f>
        <v>323.916</v>
      </c>
      <c r="G2" s="95">
        <f t="shared" ref="G2:G7" si="2">F2/45</f>
        <v>7.198133333</v>
      </c>
      <c r="H2" s="7">
        <f t="shared" ref="H2:H7" si="3">ROUNDUP(G2/(8*30),0)</f>
        <v>1</v>
      </c>
      <c r="I2" s="7">
        <f>G2/L2</f>
        <v>0.04498833333</v>
      </c>
      <c r="J2" s="7">
        <f>ROUNDUP(I2/L3,0)</f>
        <v>1</v>
      </c>
      <c r="K2" s="4" t="s">
        <v>277</v>
      </c>
      <c r="L2" s="4">
        <v>160.0</v>
      </c>
      <c r="N2" s="96" t="s">
        <v>271</v>
      </c>
      <c r="O2" s="97" t="s">
        <v>272</v>
      </c>
      <c r="P2" s="97" t="s">
        <v>273</v>
      </c>
      <c r="Q2" s="97" t="s">
        <v>274</v>
      </c>
      <c r="R2" s="98" t="s">
        <v>275</v>
      </c>
      <c r="T2" s="99" t="s">
        <v>271</v>
      </c>
      <c r="U2" s="99" t="s">
        <v>278</v>
      </c>
      <c r="V2" s="99" t="s">
        <v>279</v>
      </c>
      <c r="W2" s="99" t="s">
        <v>272</v>
      </c>
      <c r="X2" s="99" t="s">
        <v>280</v>
      </c>
    </row>
    <row r="3">
      <c r="A3" s="91" t="s">
        <v>68</v>
      </c>
      <c r="B3" s="92" t="s">
        <v>59</v>
      </c>
      <c r="C3" s="93" t="s">
        <v>281</v>
      </c>
      <c r="D3" s="92" t="s">
        <v>60</v>
      </c>
      <c r="E3" s="94">
        <v>144.846</v>
      </c>
      <c r="F3" s="7">
        <f t="shared" si="1"/>
        <v>289.692</v>
      </c>
      <c r="G3" s="95">
        <f t="shared" si="2"/>
        <v>6.4376</v>
      </c>
      <c r="H3" s="7">
        <f t="shared" si="3"/>
        <v>1</v>
      </c>
      <c r="K3" s="4" t="s">
        <v>282</v>
      </c>
      <c r="L3" s="4">
        <v>10.0</v>
      </c>
      <c r="N3" s="100" t="s">
        <v>74</v>
      </c>
      <c r="O3" s="101" t="s">
        <v>69</v>
      </c>
      <c r="P3" s="100" t="s">
        <v>283</v>
      </c>
      <c r="Q3" s="101" t="s">
        <v>118</v>
      </c>
      <c r="R3" s="102">
        <v>343.092</v>
      </c>
      <c r="T3" s="103" t="s">
        <v>65</v>
      </c>
      <c r="U3" s="104" t="s">
        <v>58</v>
      </c>
      <c r="V3" s="104" t="s">
        <v>70</v>
      </c>
      <c r="W3" s="104" t="s">
        <v>73</v>
      </c>
      <c r="X3" s="105">
        <v>161958.0</v>
      </c>
    </row>
    <row r="4">
      <c r="A4" s="91" t="s">
        <v>68</v>
      </c>
      <c r="B4" s="92" t="s">
        <v>59</v>
      </c>
      <c r="C4" s="93" t="s">
        <v>284</v>
      </c>
      <c r="D4" s="92" t="s">
        <v>61</v>
      </c>
      <c r="E4" s="94">
        <v>203.111</v>
      </c>
      <c r="F4" s="7">
        <f t="shared" si="1"/>
        <v>406.222</v>
      </c>
      <c r="G4" s="95">
        <f t="shared" si="2"/>
        <v>9.027155556</v>
      </c>
      <c r="H4" s="7">
        <f t="shared" si="3"/>
        <v>1</v>
      </c>
      <c r="N4" s="101" t="s">
        <v>21</v>
      </c>
      <c r="O4" s="101" t="s">
        <v>26</v>
      </c>
      <c r="P4" s="100" t="s">
        <v>285</v>
      </c>
      <c r="Q4" s="101" t="s">
        <v>19</v>
      </c>
      <c r="R4" s="106">
        <v>55.4</v>
      </c>
      <c r="T4" s="103" t="s">
        <v>68</v>
      </c>
      <c r="U4" s="104" t="s">
        <v>59</v>
      </c>
      <c r="V4" s="104" t="s">
        <v>65</v>
      </c>
      <c r="W4" s="104" t="s">
        <v>60</v>
      </c>
      <c r="X4" s="105">
        <v>144846.0</v>
      </c>
    </row>
    <row r="5">
      <c r="A5" s="91" t="s">
        <v>68</v>
      </c>
      <c r="B5" s="92" t="s">
        <v>59</v>
      </c>
      <c r="C5" s="93" t="s">
        <v>286</v>
      </c>
      <c r="D5" s="92" t="s">
        <v>75</v>
      </c>
      <c r="E5" s="94">
        <v>94.264</v>
      </c>
      <c r="F5" s="7">
        <f t="shared" si="1"/>
        <v>188.528</v>
      </c>
      <c r="G5" s="95">
        <f t="shared" si="2"/>
        <v>4.189511111</v>
      </c>
      <c r="H5" s="7">
        <f t="shared" si="3"/>
        <v>1</v>
      </c>
      <c r="N5" s="107" t="s">
        <v>68</v>
      </c>
      <c r="O5" s="101" t="s">
        <v>59</v>
      </c>
      <c r="P5" s="100" t="s">
        <v>281</v>
      </c>
      <c r="Q5" s="101" t="s">
        <v>60</v>
      </c>
      <c r="R5" s="102">
        <v>144.846</v>
      </c>
      <c r="T5" s="103" t="s">
        <v>68</v>
      </c>
      <c r="U5" s="104" t="s">
        <v>59</v>
      </c>
      <c r="V5" s="104" t="s">
        <v>65</v>
      </c>
      <c r="W5" s="104" t="s">
        <v>61</v>
      </c>
      <c r="X5" s="105">
        <v>203111.0</v>
      </c>
    </row>
    <row r="6">
      <c r="A6" s="91" t="s">
        <v>72</v>
      </c>
      <c r="B6" s="92" t="s">
        <v>63</v>
      </c>
      <c r="C6" s="93" t="s">
        <v>287</v>
      </c>
      <c r="D6" s="92" t="s">
        <v>64</v>
      </c>
      <c r="E6" s="94">
        <v>59.2</v>
      </c>
      <c r="F6" s="7">
        <f t="shared" si="1"/>
        <v>118.4</v>
      </c>
      <c r="G6" s="95">
        <f t="shared" si="2"/>
        <v>2.631111111</v>
      </c>
      <c r="H6" s="7">
        <f t="shared" si="3"/>
        <v>1</v>
      </c>
      <c r="N6" s="101" t="s">
        <v>260</v>
      </c>
      <c r="O6" s="101" t="s">
        <v>45</v>
      </c>
      <c r="P6" s="100" t="s">
        <v>288</v>
      </c>
      <c r="Q6" s="101" t="s">
        <v>22</v>
      </c>
      <c r="R6" s="106">
        <v>62.41</v>
      </c>
      <c r="T6" s="103" t="s">
        <v>68</v>
      </c>
      <c r="U6" s="104" t="s">
        <v>59</v>
      </c>
      <c r="V6" s="104" t="s">
        <v>65</v>
      </c>
      <c r="W6" s="104" t="s">
        <v>75</v>
      </c>
      <c r="X6" s="105">
        <v>94264.0</v>
      </c>
    </row>
    <row r="7">
      <c r="A7" s="93" t="s">
        <v>262</v>
      </c>
      <c r="B7" s="92" t="s">
        <v>34</v>
      </c>
      <c r="C7" s="93" t="s">
        <v>289</v>
      </c>
      <c r="D7" s="92" t="s">
        <v>120</v>
      </c>
      <c r="E7" s="108">
        <v>134.66</v>
      </c>
      <c r="F7" s="7">
        <f t="shared" si="1"/>
        <v>269.32</v>
      </c>
      <c r="G7" s="95">
        <f t="shared" si="2"/>
        <v>5.984888889</v>
      </c>
      <c r="H7" s="7">
        <f t="shared" si="3"/>
        <v>1</v>
      </c>
      <c r="N7" s="107" t="s">
        <v>68</v>
      </c>
      <c r="O7" s="101" t="s">
        <v>59</v>
      </c>
      <c r="P7" s="100" t="s">
        <v>284</v>
      </c>
      <c r="Q7" s="101" t="s">
        <v>61</v>
      </c>
      <c r="R7" s="102">
        <v>203.111</v>
      </c>
      <c r="T7" s="103" t="s">
        <v>72</v>
      </c>
      <c r="U7" s="104" t="s">
        <v>63</v>
      </c>
      <c r="V7" s="104" t="s">
        <v>84</v>
      </c>
      <c r="W7" s="104" t="s">
        <v>64</v>
      </c>
      <c r="X7" s="109" t="s">
        <v>290</v>
      </c>
    </row>
    <row r="8">
      <c r="A8" s="92" t="s">
        <v>27</v>
      </c>
      <c r="B8" s="110" t="s">
        <v>17</v>
      </c>
      <c r="C8" s="93" t="s">
        <v>291</v>
      </c>
      <c r="D8" s="92" t="s">
        <v>37</v>
      </c>
      <c r="E8" s="108">
        <v>154.22</v>
      </c>
      <c r="N8" s="101" t="s">
        <v>259</v>
      </c>
      <c r="O8" s="101" t="s">
        <v>43</v>
      </c>
      <c r="P8" s="100" t="s">
        <v>292</v>
      </c>
      <c r="Q8" s="101" t="s">
        <v>28</v>
      </c>
      <c r="R8" s="106">
        <v>49.98</v>
      </c>
      <c r="T8" s="104" t="s">
        <v>24</v>
      </c>
      <c r="U8" s="104" t="s">
        <v>20</v>
      </c>
      <c r="V8" s="104" t="s">
        <v>267</v>
      </c>
      <c r="W8" s="104" t="s">
        <v>88</v>
      </c>
      <c r="X8" s="111">
        <v>440971.0</v>
      </c>
    </row>
    <row r="9">
      <c r="A9" s="92" t="s">
        <v>27</v>
      </c>
      <c r="B9" s="110" t="s">
        <v>17</v>
      </c>
      <c r="C9" s="110" t="s">
        <v>293</v>
      </c>
      <c r="D9" s="92" t="s">
        <v>54</v>
      </c>
      <c r="E9" s="108">
        <v>13.78</v>
      </c>
      <c r="N9" s="101" t="s">
        <v>21</v>
      </c>
      <c r="O9" s="101" t="s">
        <v>26</v>
      </c>
      <c r="P9" s="100" t="s">
        <v>294</v>
      </c>
      <c r="Q9" s="100" t="s">
        <v>31</v>
      </c>
      <c r="R9" s="112">
        <v>47.8</v>
      </c>
      <c r="T9" s="104" t="s">
        <v>261</v>
      </c>
      <c r="U9" s="104" t="s">
        <v>34</v>
      </c>
      <c r="V9" s="104" t="s">
        <v>295</v>
      </c>
      <c r="W9" s="104" t="s">
        <v>120</v>
      </c>
      <c r="X9" s="113">
        <v>134.66</v>
      </c>
    </row>
    <row r="10">
      <c r="A10" s="92" t="s">
        <v>27</v>
      </c>
      <c r="B10" s="110" t="s">
        <v>17</v>
      </c>
      <c r="C10" s="93" t="s">
        <v>259</v>
      </c>
      <c r="D10" s="92" t="s">
        <v>119</v>
      </c>
      <c r="E10" s="108">
        <v>275.58</v>
      </c>
      <c r="N10" s="107" t="s">
        <v>72</v>
      </c>
      <c r="O10" s="101" t="s">
        <v>63</v>
      </c>
      <c r="P10" s="100" t="s">
        <v>287</v>
      </c>
      <c r="Q10" s="101" t="s">
        <v>64</v>
      </c>
      <c r="R10" s="102">
        <v>59.2</v>
      </c>
      <c r="T10" s="104" t="s">
        <v>296</v>
      </c>
      <c r="U10" s="104" t="s">
        <v>297</v>
      </c>
      <c r="V10" s="104" t="s">
        <v>12</v>
      </c>
      <c r="W10" s="104" t="s">
        <v>11</v>
      </c>
      <c r="X10" s="105">
        <v>1044466.0</v>
      </c>
    </row>
    <row r="11">
      <c r="A11" s="92" t="s">
        <v>24</v>
      </c>
      <c r="B11" s="92" t="s">
        <v>20</v>
      </c>
      <c r="C11" s="93" t="s">
        <v>260</v>
      </c>
      <c r="D11" s="92" t="s">
        <v>88</v>
      </c>
      <c r="E11" s="114">
        <v>440.971</v>
      </c>
      <c r="F11" s="7">
        <f>COUNT(Table1[Jarak(KM)])</f>
        <v>42</v>
      </c>
      <c r="N11" s="101" t="s">
        <v>12</v>
      </c>
      <c r="O11" s="101" t="s">
        <v>23</v>
      </c>
      <c r="P11" s="100" t="s">
        <v>298</v>
      </c>
      <c r="Q11" s="101" t="s">
        <v>33</v>
      </c>
      <c r="R11" s="106">
        <v>200.0</v>
      </c>
      <c r="T11" s="104" t="s">
        <v>296</v>
      </c>
      <c r="U11" s="104" t="s">
        <v>297</v>
      </c>
      <c r="V11" s="104" t="s">
        <v>24</v>
      </c>
      <c r="W11" s="104" t="s">
        <v>20</v>
      </c>
      <c r="X11" s="105">
        <v>1144628.0</v>
      </c>
    </row>
    <row r="12">
      <c r="A12" s="92" t="s">
        <v>24</v>
      </c>
      <c r="B12" s="92" t="s">
        <v>20</v>
      </c>
      <c r="C12" s="93" t="s">
        <v>263</v>
      </c>
      <c r="D12" s="92" t="s">
        <v>89</v>
      </c>
      <c r="E12" s="94">
        <v>1046.393</v>
      </c>
      <c r="N12" s="101" t="s">
        <v>12</v>
      </c>
      <c r="O12" s="101" t="s">
        <v>23</v>
      </c>
      <c r="P12" s="100" t="s">
        <v>299</v>
      </c>
      <c r="Q12" s="101" t="s">
        <v>35</v>
      </c>
      <c r="R12" s="106">
        <v>16.37</v>
      </c>
      <c r="T12" s="104" t="s">
        <v>27</v>
      </c>
      <c r="U12" s="104" t="s">
        <v>17</v>
      </c>
      <c r="V12" s="104" t="s">
        <v>266</v>
      </c>
      <c r="W12" s="104" t="s">
        <v>119</v>
      </c>
      <c r="X12" s="113">
        <v>275.58</v>
      </c>
    </row>
    <row r="13">
      <c r="A13" s="92" t="s">
        <v>24</v>
      </c>
      <c r="B13" s="92" t="s">
        <v>20</v>
      </c>
      <c r="C13" s="93" t="s">
        <v>266</v>
      </c>
      <c r="D13" s="92" t="s">
        <v>90</v>
      </c>
      <c r="E13" s="94">
        <v>924.619</v>
      </c>
      <c r="N13" s="101" t="s">
        <v>12</v>
      </c>
      <c r="O13" s="101" t="s">
        <v>23</v>
      </c>
      <c r="P13" s="100" t="s">
        <v>300</v>
      </c>
      <c r="Q13" s="101" t="s">
        <v>36</v>
      </c>
      <c r="R13" s="106">
        <v>97.42</v>
      </c>
      <c r="T13" s="104" t="s">
        <v>27</v>
      </c>
      <c r="U13" s="104" t="s">
        <v>17</v>
      </c>
      <c r="V13" s="104" t="s">
        <v>301</v>
      </c>
      <c r="W13" s="104" t="s">
        <v>37</v>
      </c>
      <c r="X13" s="113">
        <v>154.22</v>
      </c>
    </row>
    <row r="14">
      <c r="A14" s="92" t="s">
        <v>24</v>
      </c>
      <c r="B14" s="92" t="s">
        <v>20</v>
      </c>
      <c r="C14" s="93" t="s">
        <v>270</v>
      </c>
      <c r="D14" s="92" t="s">
        <v>91</v>
      </c>
      <c r="E14" s="94">
        <v>179.485</v>
      </c>
      <c r="N14" s="107" t="s">
        <v>77</v>
      </c>
      <c r="O14" s="115" t="s">
        <v>76</v>
      </c>
      <c r="P14" s="116" t="s">
        <v>302</v>
      </c>
      <c r="Q14" s="115" t="s">
        <v>67</v>
      </c>
      <c r="R14" s="112">
        <v>352.4</v>
      </c>
      <c r="T14" s="104" t="s">
        <v>27</v>
      </c>
      <c r="U14" s="104" t="s">
        <v>17</v>
      </c>
      <c r="V14" s="104" t="s">
        <v>293</v>
      </c>
      <c r="W14" s="104" t="s">
        <v>54</v>
      </c>
      <c r="X14" s="113">
        <v>13.78</v>
      </c>
    </row>
    <row r="15">
      <c r="A15" s="92" t="s">
        <v>12</v>
      </c>
      <c r="B15" s="110" t="s">
        <v>23</v>
      </c>
      <c r="C15" s="93" t="s">
        <v>298</v>
      </c>
      <c r="D15" s="92" t="s">
        <v>33</v>
      </c>
      <c r="E15" s="108">
        <v>200.0</v>
      </c>
      <c r="N15" s="101" t="s">
        <v>27</v>
      </c>
      <c r="O15" s="101" t="s">
        <v>17</v>
      </c>
      <c r="P15" s="100" t="s">
        <v>291</v>
      </c>
      <c r="Q15" s="101" t="s">
        <v>37</v>
      </c>
      <c r="R15" s="106">
        <v>154.22</v>
      </c>
      <c r="T15" s="104" t="s">
        <v>24</v>
      </c>
      <c r="U15" s="104" t="s">
        <v>20</v>
      </c>
      <c r="V15" s="104" t="s">
        <v>262</v>
      </c>
      <c r="W15" s="104" t="s">
        <v>89</v>
      </c>
      <c r="X15" s="105">
        <v>1046393.0</v>
      </c>
    </row>
    <row r="16">
      <c r="A16" s="92" t="s">
        <v>12</v>
      </c>
      <c r="B16" s="110" t="s">
        <v>23</v>
      </c>
      <c r="C16" s="93" t="s">
        <v>299</v>
      </c>
      <c r="D16" s="92" t="s">
        <v>35</v>
      </c>
      <c r="E16" s="108">
        <v>16.37</v>
      </c>
      <c r="N16" s="101" t="s">
        <v>21</v>
      </c>
      <c r="O16" s="101" t="s">
        <v>26</v>
      </c>
      <c r="P16" s="100" t="s">
        <v>303</v>
      </c>
      <c r="Q16" s="101" t="s">
        <v>38</v>
      </c>
      <c r="R16" s="106">
        <v>170.45</v>
      </c>
      <c r="T16" s="104" t="s">
        <v>24</v>
      </c>
      <c r="U16" s="104" t="s">
        <v>20</v>
      </c>
      <c r="V16" s="104" t="s">
        <v>264</v>
      </c>
      <c r="W16" s="104" t="s">
        <v>90</v>
      </c>
      <c r="X16" s="105">
        <v>924619.0</v>
      </c>
    </row>
    <row r="17">
      <c r="A17" s="92" t="s">
        <v>12</v>
      </c>
      <c r="B17" s="110" t="s">
        <v>23</v>
      </c>
      <c r="C17" s="93" t="s">
        <v>300</v>
      </c>
      <c r="D17" s="92" t="s">
        <v>36</v>
      </c>
      <c r="E17" s="108">
        <v>97.42</v>
      </c>
      <c r="N17" s="101" t="s">
        <v>259</v>
      </c>
      <c r="O17" s="101" t="s">
        <v>43</v>
      </c>
      <c r="P17" s="116" t="s">
        <v>301</v>
      </c>
      <c r="Q17" s="117" t="s">
        <v>41</v>
      </c>
      <c r="R17" s="118">
        <v>138.45</v>
      </c>
      <c r="T17" s="104" t="s">
        <v>24</v>
      </c>
      <c r="U17" s="104" t="s">
        <v>20</v>
      </c>
      <c r="V17" s="104" t="s">
        <v>269</v>
      </c>
      <c r="W17" s="104" t="s">
        <v>91</v>
      </c>
      <c r="X17" s="105">
        <v>179485.0</v>
      </c>
    </row>
    <row r="18">
      <c r="A18" s="92" t="s">
        <v>12</v>
      </c>
      <c r="B18" s="110" t="s">
        <v>23</v>
      </c>
      <c r="C18" s="93" t="s">
        <v>295</v>
      </c>
      <c r="D18" s="92" t="s">
        <v>44</v>
      </c>
      <c r="E18" s="108">
        <v>55.23</v>
      </c>
      <c r="N18" s="101" t="s">
        <v>261</v>
      </c>
      <c r="O18" s="101" t="s">
        <v>34</v>
      </c>
      <c r="P18" s="100" t="s">
        <v>289</v>
      </c>
      <c r="Q18" s="101" t="s">
        <v>120</v>
      </c>
      <c r="R18" s="106">
        <v>134.66</v>
      </c>
      <c r="T18" s="104" t="s">
        <v>12</v>
      </c>
      <c r="U18" s="104" t="s">
        <v>23</v>
      </c>
      <c r="V18" s="104" t="s">
        <v>263</v>
      </c>
      <c r="W18" s="104" t="s">
        <v>32</v>
      </c>
      <c r="X18" s="113">
        <v>194.85</v>
      </c>
    </row>
    <row r="19">
      <c r="A19" s="93" t="s">
        <v>24</v>
      </c>
      <c r="B19" s="93" t="s">
        <v>23</v>
      </c>
      <c r="C19" s="93" t="s">
        <v>304</v>
      </c>
      <c r="D19" s="92" t="s">
        <v>50</v>
      </c>
      <c r="E19" s="119">
        <v>224.38</v>
      </c>
      <c r="N19" s="107" t="s">
        <v>81</v>
      </c>
      <c r="O19" s="101" t="s">
        <v>80</v>
      </c>
      <c r="P19" s="100" t="s">
        <v>305</v>
      </c>
      <c r="Q19" s="101" t="s">
        <v>71</v>
      </c>
      <c r="R19" s="102">
        <v>212.077</v>
      </c>
      <c r="T19" s="104" t="s">
        <v>12</v>
      </c>
      <c r="U19" s="104" t="s">
        <v>23</v>
      </c>
      <c r="V19" s="104" t="s">
        <v>302</v>
      </c>
      <c r="W19" s="104" t="s">
        <v>33</v>
      </c>
      <c r="X19" s="113">
        <v>200.0</v>
      </c>
    </row>
    <row r="20">
      <c r="A20" s="92" t="s">
        <v>12</v>
      </c>
      <c r="B20" s="110" t="s">
        <v>23</v>
      </c>
      <c r="C20" s="110" t="s">
        <v>306</v>
      </c>
      <c r="D20" s="92" t="s">
        <v>51</v>
      </c>
      <c r="E20" s="108">
        <v>41.33</v>
      </c>
      <c r="N20" s="101" t="s">
        <v>12</v>
      </c>
      <c r="O20" s="101" t="s">
        <v>23</v>
      </c>
      <c r="P20" s="100" t="s">
        <v>295</v>
      </c>
      <c r="Q20" s="101" t="s">
        <v>44</v>
      </c>
      <c r="R20" s="106">
        <v>55.23</v>
      </c>
      <c r="T20" s="104" t="s">
        <v>12</v>
      </c>
      <c r="U20" s="104" t="s">
        <v>23</v>
      </c>
      <c r="V20" s="104" t="s">
        <v>291</v>
      </c>
      <c r="W20" s="104" t="s">
        <v>35</v>
      </c>
      <c r="X20" s="113">
        <v>16.37</v>
      </c>
    </row>
    <row r="21">
      <c r="A21" s="92" t="s">
        <v>12</v>
      </c>
      <c r="B21" s="110" t="s">
        <v>23</v>
      </c>
      <c r="C21" s="93" t="s">
        <v>261</v>
      </c>
      <c r="D21" s="92" t="s">
        <v>32</v>
      </c>
      <c r="E21" s="108">
        <v>194.85</v>
      </c>
      <c r="N21" s="101" t="s">
        <v>30</v>
      </c>
      <c r="O21" s="101" t="s">
        <v>29</v>
      </c>
      <c r="P21" s="100" t="s">
        <v>307</v>
      </c>
      <c r="Q21" s="101" t="s">
        <v>46</v>
      </c>
      <c r="R21" s="106">
        <v>71.72</v>
      </c>
      <c r="T21" s="104" t="s">
        <v>12</v>
      </c>
      <c r="U21" s="104" t="s">
        <v>23</v>
      </c>
      <c r="V21" s="104" t="s">
        <v>303</v>
      </c>
      <c r="W21" s="104" t="s">
        <v>36</v>
      </c>
      <c r="X21" s="113">
        <v>97.42</v>
      </c>
    </row>
    <row r="22">
      <c r="A22" s="92" t="s">
        <v>12</v>
      </c>
      <c r="B22" s="110" t="s">
        <v>23</v>
      </c>
      <c r="C22" s="93" t="s">
        <v>267</v>
      </c>
      <c r="D22" s="92" t="s">
        <v>43</v>
      </c>
      <c r="E22" s="108">
        <v>375.38</v>
      </c>
      <c r="N22" s="107" t="s">
        <v>65</v>
      </c>
      <c r="O22" s="101" t="s">
        <v>58</v>
      </c>
      <c r="P22" s="100" t="s">
        <v>276</v>
      </c>
      <c r="Q22" s="101" t="s">
        <v>73</v>
      </c>
      <c r="R22" s="102">
        <v>161.958</v>
      </c>
      <c r="T22" s="104" t="s">
        <v>12</v>
      </c>
      <c r="U22" s="104" t="s">
        <v>23</v>
      </c>
      <c r="V22" s="104" t="s">
        <v>259</v>
      </c>
      <c r="W22" s="104" t="s">
        <v>43</v>
      </c>
      <c r="X22" s="113">
        <v>375.38</v>
      </c>
    </row>
    <row r="23">
      <c r="A23" s="92" t="s">
        <v>12</v>
      </c>
      <c r="B23" s="110" t="s">
        <v>23</v>
      </c>
      <c r="C23" s="93" t="s">
        <v>268</v>
      </c>
      <c r="D23" s="110" t="s">
        <v>45</v>
      </c>
      <c r="E23" s="108">
        <v>162.64</v>
      </c>
      <c r="N23" s="101" t="s">
        <v>260</v>
      </c>
      <c r="O23" s="101" t="s">
        <v>45</v>
      </c>
      <c r="P23" s="100" t="s">
        <v>308</v>
      </c>
      <c r="Q23" s="101" t="s">
        <v>47</v>
      </c>
      <c r="R23" s="106">
        <v>103.54</v>
      </c>
      <c r="T23" s="104" t="s">
        <v>12</v>
      </c>
      <c r="U23" s="104" t="s">
        <v>23</v>
      </c>
      <c r="V23" s="104" t="s">
        <v>276</v>
      </c>
      <c r="W23" s="104" t="s">
        <v>44</v>
      </c>
      <c r="X23" s="113">
        <v>55.23</v>
      </c>
    </row>
    <row r="24">
      <c r="A24" s="92" t="s">
        <v>21</v>
      </c>
      <c r="B24" s="110" t="s">
        <v>26</v>
      </c>
      <c r="C24" s="93" t="s">
        <v>285</v>
      </c>
      <c r="D24" s="92" t="s">
        <v>19</v>
      </c>
      <c r="E24" s="120">
        <v>55.4</v>
      </c>
      <c r="N24" s="107" t="s">
        <v>68</v>
      </c>
      <c r="O24" s="101" t="s">
        <v>59</v>
      </c>
      <c r="P24" s="100" t="s">
        <v>286</v>
      </c>
      <c r="Q24" s="101" t="s">
        <v>75</v>
      </c>
      <c r="R24" s="102">
        <v>94.264</v>
      </c>
      <c r="T24" s="104" t="s">
        <v>12</v>
      </c>
      <c r="U24" s="104" t="s">
        <v>23</v>
      </c>
      <c r="V24" s="104" t="s">
        <v>306</v>
      </c>
      <c r="W24" s="104" t="s">
        <v>51</v>
      </c>
      <c r="X24" s="113">
        <v>41.33</v>
      </c>
    </row>
    <row r="25">
      <c r="A25" s="92" t="s">
        <v>21</v>
      </c>
      <c r="B25" s="110" t="s">
        <v>26</v>
      </c>
      <c r="C25" s="93" t="s">
        <v>294</v>
      </c>
      <c r="D25" s="93" t="s">
        <v>31</v>
      </c>
      <c r="E25" s="121">
        <v>47.8</v>
      </c>
      <c r="N25" s="101" t="s">
        <v>260</v>
      </c>
      <c r="O25" s="101" t="s">
        <v>45</v>
      </c>
      <c r="P25" s="100" t="s">
        <v>309</v>
      </c>
      <c r="Q25" s="101" t="s">
        <v>49</v>
      </c>
      <c r="R25" s="106">
        <v>80.4</v>
      </c>
      <c r="T25" s="104" t="s">
        <v>260</v>
      </c>
      <c r="U25" s="122" t="s">
        <v>23</v>
      </c>
      <c r="V25" s="104" t="s">
        <v>310</v>
      </c>
      <c r="W25" s="104" t="s">
        <v>50</v>
      </c>
      <c r="X25" s="123">
        <v>224.38</v>
      </c>
    </row>
    <row r="26">
      <c r="A26" s="92" t="s">
        <v>21</v>
      </c>
      <c r="B26" s="110" t="s">
        <v>26</v>
      </c>
      <c r="C26" s="93" t="s">
        <v>303</v>
      </c>
      <c r="D26" s="92" t="s">
        <v>38</v>
      </c>
      <c r="E26" s="108">
        <v>170.45</v>
      </c>
      <c r="N26" s="107" t="s">
        <v>77</v>
      </c>
      <c r="O26" s="115" t="s">
        <v>76</v>
      </c>
      <c r="P26" s="100" t="s">
        <v>311</v>
      </c>
      <c r="Q26" s="101" t="s">
        <v>86</v>
      </c>
      <c r="R26" s="102">
        <v>151.0</v>
      </c>
      <c r="T26" s="104" t="s">
        <v>21</v>
      </c>
      <c r="U26" s="104" t="s">
        <v>26</v>
      </c>
      <c r="V26" s="104" t="s">
        <v>284</v>
      </c>
      <c r="W26" s="104" t="s">
        <v>19</v>
      </c>
      <c r="X26" s="113">
        <v>55.4</v>
      </c>
    </row>
    <row r="27">
      <c r="A27" s="92" t="s">
        <v>21</v>
      </c>
      <c r="B27" s="110" t="s">
        <v>26</v>
      </c>
      <c r="C27" s="110" t="s">
        <v>312</v>
      </c>
      <c r="D27" s="92" t="s">
        <v>52</v>
      </c>
      <c r="E27" s="108">
        <v>35.19</v>
      </c>
      <c r="N27" s="101" t="s">
        <v>260</v>
      </c>
      <c r="O27" s="100" t="s">
        <v>23</v>
      </c>
      <c r="P27" s="100" t="s">
        <v>304</v>
      </c>
      <c r="Q27" s="101" t="s">
        <v>50</v>
      </c>
      <c r="R27" s="118">
        <v>224.38</v>
      </c>
      <c r="T27" s="104" t="s">
        <v>21</v>
      </c>
      <c r="U27" s="104" t="s">
        <v>26</v>
      </c>
      <c r="V27" s="104" t="s">
        <v>289</v>
      </c>
      <c r="W27" s="104" t="s">
        <v>38</v>
      </c>
      <c r="X27" s="113">
        <v>170.45</v>
      </c>
    </row>
    <row r="28">
      <c r="A28" s="92" t="s">
        <v>21</v>
      </c>
      <c r="B28" s="110" t="s">
        <v>26</v>
      </c>
      <c r="C28" s="93" t="s">
        <v>262</v>
      </c>
      <c r="D28" s="124" t="s">
        <v>34</v>
      </c>
      <c r="E28" s="125">
        <v>396.91</v>
      </c>
      <c r="N28" s="107" t="s">
        <v>81</v>
      </c>
      <c r="O28" s="115" t="s">
        <v>76</v>
      </c>
      <c r="P28" s="116" t="s">
        <v>310</v>
      </c>
      <c r="Q28" s="115" t="s">
        <v>82</v>
      </c>
      <c r="R28" s="112">
        <v>321.0</v>
      </c>
      <c r="T28" s="104" t="s">
        <v>21</v>
      </c>
      <c r="U28" s="104" t="s">
        <v>26</v>
      </c>
      <c r="V28" s="104" t="s">
        <v>312</v>
      </c>
      <c r="W28" s="104" t="s">
        <v>52</v>
      </c>
      <c r="X28" s="113">
        <v>35.19</v>
      </c>
    </row>
    <row r="29">
      <c r="A29" s="93" t="s">
        <v>74</v>
      </c>
      <c r="B29" s="92" t="s">
        <v>69</v>
      </c>
      <c r="C29" s="93" t="s">
        <v>283</v>
      </c>
      <c r="D29" s="92" t="s">
        <v>118</v>
      </c>
      <c r="E29" s="94">
        <v>343.092</v>
      </c>
      <c r="N29" s="101" t="s">
        <v>12</v>
      </c>
      <c r="O29" s="101" t="s">
        <v>23</v>
      </c>
      <c r="P29" s="101" t="s">
        <v>306</v>
      </c>
      <c r="Q29" s="101" t="s">
        <v>51</v>
      </c>
      <c r="R29" s="106">
        <v>41.33</v>
      </c>
      <c r="T29" s="104" t="s">
        <v>21</v>
      </c>
      <c r="U29" s="104" t="s">
        <v>26</v>
      </c>
      <c r="V29" s="122" t="s">
        <v>294</v>
      </c>
      <c r="W29" s="122" t="s">
        <v>31</v>
      </c>
      <c r="X29" s="126">
        <v>47.8</v>
      </c>
    </row>
    <row r="30">
      <c r="A30" s="93" t="s">
        <v>267</v>
      </c>
      <c r="B30" s="92" t="s">
        <v>43</v>
      </c>
      <c r="C30" s="93" t="s">
        <v>292</v>
      </c>
      <c r="D30" s="92" t="s">
        <v>28</v>
      </c>
      <c r="E30" s="108">
        <v>49.98</v>
      </c>
      <c r="N30" s="101" t="s">
        <v>21</v>
      </c>
      <c r="O30" s="101" t="s">
        <v>26</v>
      </c>
      <c r="P30" s="101" t="s">
        <v>312</v>
      </c>
      <c r="Q30" s="101" t="s">
        <v>52</v>
      </c>
      <c r="R30" s="106">
        <v>35.19</v>
      </c>
      <c r="T30" s="122" t="s">
        <v>74</v>
      </c>
      <c r="U30" s="104" t="s">
        <v>69</v>
      </c>
      <c r="V30" s="122" t="s">
        <v>283</v>
      </c>
      <c r="W30" s="104" t="s">
        <v>118</v>
      </c>
      <c r="X30" s="105">
        <v>343092.0</v>
      </c>
    </row>
    <row r="31">
      <c r="A31" s="93" t="s">
        <v>267</v>
      </c>
      <c r="B31" s="92" t="s">
        <v>43</v>
      </c>
      <c r="C31" s="127" t="s">
        <v>301</v>
      </c>
      <c r="D31" s="128" t="s">
        <v>41</v>
      </c>
      <c r="E31" s="119">
        <v>138.45</v>
      </c>
      <c r="N31" s="101" t="s">
        <v>259</v>
      </c>
      <c r="O31" s="101" t="s">
        <v>43</v>
      </c>
      <c r="P31" s="101" t="s">
        <v>313</v>
      </c>
      <c r="Q31" s="101" t="s">
        <v>53</v>
      </c>
      <c r="R31" s="106">
        <v>72.18</v>
      </c>
      <c r="T31" s="104" t="s">
        <v>259</v>
      </c>
      <c r="U31" s="104" t="s">
        <v>43</v>
      </c>
      <c r="V31" s="104" t="s">
        <v>298</v>
      </c>
      <c r="W31" s="104" t="s">
        <v>28</v>
      </c>
      <c r="X31" s="113">
        <v>49.98</v>
      </c>
    </row>
    <row r="32">
      <c r="A32" s="93" t="s">
        <v>267</v>
      </c>
      <c r="B32" s="92" t="s">
        <v>43</v>
      </c>
      <c r="C32" s="110" t="s">
        <v>313</v>
      </c>
      <c r="D32" s="92" t="s">
        <v>53</v>
      </c>
      <c r="E32" s="108">
        <v>72.18</v>
      </c>
      <c r="G32" s="129"/>
      <c r="H32" s="47" t="s">
        <v>296</v>
      </c>
      <c r="I32" s="47" t="s">
        <v>297</v>
      </c>
      <c r="J32" s="47" t="s">
        <v>12</v>
      </c>
      <c r="K32" s="47" t="s">
        <v>11</v>
      </c>
      <c r="L32" s="48">
        <v>1044.466</v>
      </c>
      <c r="N32" s="101" t="s">
        <v>27</v>
      </c>
      <c r="O32" s="101" t="s">
        <v>17</v>
      </c>
      <c r="P32" s="101" t="s">
        <v>293</v>
      </c>
      <c r="Q32" s="101" t="s">
        <v>54</v>
      </c>
      <c r="R32" s="106">
        <v>13.78</v>
      </c>
      <c r="T32" s="104" t="s">
        <v>259</v>
      </c>
      <c r="U32" s="104" t="s">
        <v>43</v>
      </c>
      <c r="V32" s="104" t="s">
        <v>313</v>
      </c>
      <c r="W32" s="104" t="s">
        <v>53</v>
      </c>
      <c r="X32" s="113">
        <v>72.18</v>
      </c>
    </row>
    <row r="33">
      <c r="A33" s="92" t="s">
        <v>30</v>
      </c>
      <c r="B33" s="110" t="s">
        <v>29</v>
      </c>
      <c r="C33" s="93" t="s">
        <v>307</v>
      </c>
      <c r="D33" s="92" t="s">
        <v>46</v>
      </c>
      <c r="E33" s="108">
        <v>71.72</v>
      </c>
      <c r="G33" s="129"/>
      <c r="H33" s="47" t="s">
        <v>296</v>
      </c>
      <c r="I33" s="47" t="s">
        <v>297</v>
      </c>
      <c r="J33" s="47" t="s">
        <v>24</v>
      </c>
      <c r="K33" s="47" t="s">
        <v>20</v>
      </c>
      <c r="L33" s="48">
        <v>1144.628</v>
      </c>
      <c r="N33" s="101" t="s">
        <v>27</v>
      </c>
      <c r="O33" s="101" t="s">
        <v>17</v>
      </c>
      <c r="P33" s="100" t="s">
        <v>259</v>
      </c>
      <c r="Q33" s="101" t="s">
        <v>119</v>
      </c>
      <c r="R33" s="106">
        <v>275.58</v>
      </c>
      <c r="T33" s="104" t="s">
        <v>259</v>
      </c>
      <c r="U33" s="104" t="s">
        <v>43</v>
      </c>
      <c r="V33" s="122" t="s">
        <v>305</v>
      </c>
      <c r="W33" s="122" t="s">
        <v>41</v>
      </c>
      <c r="X33" s="123">
        <v>138.45</v>
      </c>
    </row>
    <row r="34">
      <c r="A34" s="92" t="s">
        <v>30</v>
      </c>
      <c r="B34" s="92" t="s">
        <v>29</v>
      </c>
      <c r="C34" s="93" t="s">
        <v>264</v>
      </c>
      <c r="D34" s="92" t="s">
        <v>39</v>
      </c>
      <c r="E34" s="108">
        <v>589.5</v>
      </c>
      <c r="G34" s="129"/>
      <c r="H34" s="129"/>
      <c r="N34" s="101" t="s">
        <v>12</v>
      </c>
      <c r="O34" s="101" t="s">
        <v>23</v>
      </c>
      <c r="P34" s="101" t="s">
        <v>260</v>
      </c>
      <c r="Q34" s="101" t="s">
        <v>45</v>
      </c>
      <c r="R34" s="130">
        <v>162.64</v>
      </c>
      <c r="T34" s="104" t="s">
        <v>30</v>
      </c>
      <c r="U34" s="104" t="s">
        <v>29</v>
      </c>
      <c r="V34" s="104" t="s">
        <v>268</v>
      </c>
      <c r="W34" s="104" t="s">
        <v>39</v>
      </c>
      <c r="X34" s="113">
        <v>589.5</v>
      </c>
    </row>
    <row r="35">
      <c r="A35" s="92" t="s">
        <v>30</v>
      </c>
      <c r="B35" s="110" t="s">
        <v>29</v>
      </c>
      <c r="C35" s="93" t="s">
        <v>265</v>
      </c>
      <c r="D35" s="92" t="s">
        <v>40</v>
      </c>
      <c r="E35" s="108">
        <v>406.82</v>
      </c>
      <c r="G35" s="129"/>
      <c r="H35" s="129"/>
      <c r="N35" s="101" t="s">
        <v>24</v>
      </c>
      <c r="O35" s="101" t="s">
        <v>20</v>
      </c>
      <c r="P35" s="100" t="s">
        <v>260</v>
      </c>
      <c r="Q35" s="101" t="s">
        <v>88</v>
      </c>
      <c r="R35" s="131">
        <v>440.971</v>
      </c>
      <c r="T35" s="104" t="s">
        <v>30</v>
      </c>
      <c r="U35" s="104" t="s">
        <v>29</v>
      </c>
      <c r="V35" s="104" t="s">
        <v>270</v>
      </c>
      <c r="W35" s="104" t="s">
        <v>40</v>
      </c>
      <c r="X35" s="113">
        <v>406.82</v>
      </c>
    </row>
    <row r="36">
      <c r="A36" s="92" t="s">
        <v>30</v>
      </c>
      <c r="B36" s="110" t="s">
        <v>29</v>
      </c>
      <c r="C36" s="93" t="s">
        <v>269</v>
      </c>
      <c r="D36" s="110" t="s">
        <v>48</v>
      </c>
      <c r="E36" s="108">
        <v>206.67</v>
      </c>
      <c r="G36" s="129"/>
      <c r="H36" s="129"/>
      <c r="N36" s="101" t="s">
        <v>12</v>
      </c>
      <c r="O36" s="101" t="s">
        <v>23</v>
      </c>
      <c r="P36" s="100" t="s">
        <v>261</v>
      </c>
      <c r="Q36" s="101" t="s">
        <v>32</v>
      </c>
      <c r="R36" s="106">
        <v>194.85</v>
      </c>
      <c r="T36" s="104" t="s">
        <v>30</v>
      </c>
      <c r="U36" s="104" t="s">
        <v>29</v>
      </c>
      <c r="V36" s="104" t="s">
        <v>308</v>
      </c>
      <c r="W36" s="104" t="s">
        <v>46</v>
      </c>
      <c r="X36" s="113">
        <v>71.72</v>
      </c>
    </row>
    <row r="37">
      <c r="A37" s="92" t="s">
        <v>260</v>
      </c>
      <c r="B37" s="92" t="s">
        <v>45</v>
      </c>
      <c r="C37" s="93" t="s">
        <v>288</v>
      </c>
      <c r="D37" s="92" t="s">
        <v>22</v>
      </c>
      <c r="E37" s="108">
        <v>62.41</v>
      </c>
      <c r="G37" s="129"/>
      <c r="H37" s="129"/>
      <c r="N37" s="101" t="s">
        <v>21</v>
      </c>
      <c r="O37" s="101" t="s">
        <v>26</v>
      </c>
      <c r="P37" s="101" t="s">
        <v>261</v>
      </c>
      <c r="Q37" s="117" t="s">
        <v>34</v>
      </c>
      <c r="R37" s="132">
        <v>396.91</v>
      </c>
      <c r="T37" s="104" t="s">
        <v>30</v>
      </c>
      <c r="U37" s="104" t="s">
        <v>29</v>
      </c>
      <c r="V37" s="104" t="s">
        <v>265</v>
      </c>
      <c r="W37" s="104" t="s">
        <v>48</v>
      </c>
      <c r="X37" s="113">
        <v>206.67</v>
      </c>
    </row>
    <row r="38">
      <c r="A38" s="92" t="s">
        <v>260</v>
      </c>
      <c r="B38" s="92" t="s">
        <v>45</v>
      </c>
      <c r="C38" s="93" t="s">
        <v>308</v>
      </c>
      <c r="D38" s="92" t="s">
        <v>47</v>
      </c>
      <c r="E38" s="108">
        <v>103.54</v>
      </c>
      <c r="G38" s="129"/>
      <c r="H38" s="129"/>
      <c r="N38" s="101" t="s">
        <v>21</v>
      </c>
      <c r="O38" s="101" t="s">
        <v>26</v>
      </c>
      <c r="P38" s="100" t="s">
        <v>262</v>
      </c>
      <c r="Q38" s="117" t="s">
        <v>34</v>
      </c>
      <c r="R38" s="133">
        <v>396.91</v>
      </c>
      <c r="T38" s="104" t="s">
        <v>260</v>
      </c>
      <c r="U38" s="104" t="s">
        <v>45</v>
      </c>
      <c r="V38" s="104" t="s">
        <v>294</v>
      </c>
      <c r="W38" s="104" t="s">
        <v>22</v>
      </c>
      <c r="X38" s="113">
        <v>62.41</v>
      </c>
    </row>
    <row r="39">
      <c r="A39" s="92" t="s">
        <v>260</v>
      </c>
      <c r="B39" s="92" t="s">
        <v>45</v>
      </c>
      <c r="C39" s="93" t="s">
        <v>309</v>
      </c>
      <c r="D39" s="92" t="s">
        <v>49</v>
      </c>
      <c r="E39" s="108">
        <v>80.4</v>
      </c>
      <c r="G39" s="129"/>
      <c r="H39" s="129"/>
      <c r="N39" s="101" t="s">
        <v>24</v>
      </c>
      <c r="O39" s="101" t="s">
        <v>20</v>
      </c>
      <c r="P39" s="100" t="s">
        <v>263</v>
      </c>
      <c r="Q39" s="101" t="s">
        <v>89</v>
      </c>
      <c r="R39" s="102">
        <v>1046.393</v>
      </c>
      <c r="T39" s="104" t="s">
        <v>260</v>
      </c>
      <c r="U39" s="104" t="s">
        <v>45</v>
      </c>
      <c r="V39" s="104" t="s">
        <v>309</v>
      </c>
      <c r="W39" s="104" t="s">
        <v>47</v>
      </c>
      <c r="X39" s="113">
        <v>103.54</v>
      </c>
    </row>
    <row r="40">
      <c r="A40" s="91" t="s">
        <v>77</v>
      </c>
      <c r="B40" s="134" t="s">
        <v>76</v>
      </c>
      <c r="C40" s="127" t="s">
        <v>302</v>
      </c>
      <c r="D40" s="134" t="s">
        <v>67</v>
      </c>
      <c r="E40" s="121">
        <v>352.4</v>
      </c>
      <c r="N40" s="101" t="s">
        <v>30</v>
      </c>
      <c r="O40" s="101" t="s">
        <v>29</v>
      </c>
      <c r="P40" s="100" t="s">
        <v>264</v>
      </c>
      <c r="Q40" s="101" t="s">
        <v>39</v>
      </c>
      <c r="R40" s="106">
        <v>589.5</v>
      </c>
      <c r="T40" s="104" t="s">
        <v>260</v>
      </c>
      <c r="U40" s="104" t="s">
        <v>45</v>
      </c>
      <c r="V40" s="104" t="s">
        <v>304</v>
      </c>
      <c r="W40" s="104" t="s">
        <v>49</v>
      </c>
      <c r="X40" s="113">
        <v>80.4</v>
      </c>
    </row>
    <row r="41">
      <c r="A41" s="91" t="s">
        <v>77</v>
      </c>
      <c r="B41" s="134" t="s">
        <v>76</v>
      </c>
      <c r="C41" s="93" t="s">
        <v>311</v>
      </c>
      <c r="D41" s="92" t="s">
        <v>86</v>
      </c>
      <c r="E41" s="94">
        <v>151.0</v>
      </c>
      <c r="N41" s="101" t="s">
        <v>30</v>
      </c>
      <c r="O41" s="101" t="s">
        <v>29</v>
      </c>
      <c r="P41" s="100" t="s">
        <v>265</v>
      </c>
      <c r="Q41" s="101" t="s">
        <v>40</v>
      </c>
      <c r="R41" s="106">
        <v>406.82</v>
      </c>
      <c r="T41" s="103" t="s">
        <v>77</v>
      </c>
      <c r="U41" s="135" t="s">
        <v>76</v>
      </c>
      <c r="V41" s="104" t="s">
        <v>74</v>
      </c>
      <c r="W41" s="104" t="s">
        <v>86</v>
      </c>
      <c r="X41" s="136">
        <v>151.0</v>
      </c>
    </row>
    <row r="42">
      <c r="A42" s="91" t="s">
        <v>77</v>
      </c>
      <c r="B42" s="137" t="s">
        <v>76</v>
      </c>
      <c r="C42" s="127" t="s">
        <v>310</v>
      </c>
      <c r="D42" s="137" t="s">
        <v>82</v>
      </c>
      <c r="E42" s="121">
        <v>321.0</v>
      </c>
      <c r="N42" s="101" t="s">
        <v>24</v>
      </c>
      <c r="O42" s="101" t="s">
        <v>20</v>
      </c>
      <c r="P42" s="100" t="s">
        <v>266</v>
      </c>
      <c r="Q42" s="101" t="s">
        <v>90</v>
      </c>
      <c r="R42" s="102">
        <v>924.619</v>
      </c>
      <c r="T42" s="103" t="s">
        <v>77</v>
      </c>
      <c r="U42" s="135" t="s">
        <v>76</v>
      </c>
      <c r="V42" s="126" t="s">
        <v>302</v>
      </c>
      <c r="W42" s="135" t="s">
        <v>67</v>
      </c>
      <c r="X42" s="126">
        <v>352.4</v>
      </c>
    </row>
    <row r="43">
      <c r="A43" s="91" t="s">
        <v>81</v>
      </c>
      <c r="B43" s="92" t="s">
        <v>80</v>
      </c>
      <c r="C43" s="93" t="s">
        <v>305</v>
      </c>
      <c r="D43" s="92" t="s">
        <v>71</v>
      </c>
      <c r="E43" s="94">
        <v>212.077</v>
      </c>
      <c r="N43" s="101" t="s">
        <v>12</v>
      </c>
      <c r="O43" s="101" t="s">
        <v>23</v>
      </c>
      <c r="P43" s="100" t="s">
        <v>267</v>
      </c>
      <c r="Q43" s="101" t="s">
        <v>43</v>
      </c>
      <c r="R43" s="106">
        <v>375.38</v>
      </c>
      <c r="T43" s="103" t="s">
        <v>81</v>
      </c>
      <c r="U43" s="135" t="s">
        <v>76</v>
      </c>
      <c r="V43" s="126" t="s">
        <v>310</v>
      </c>
      <c r="W43" s="135" t="s">
        <v>82</v>
      </c>
      <c r="X43" s="126">
        <v>321.0</v>
      </c>
    </row>
    <row r="44">
      <c r="N44" s="101" t="s">
        <v>12</v>
      </c>
      <c r="O44" s="101" t="s">
        <v>23</v>
      </c>
      <c r="P44" s="100" t="s">
        <v>268</v>
      </c>
      <c r="Q44" s="101" t="s">
        <v>45</v>
      </c>
      <c r="R44" s="106">
        <v>162.64</v>
      </c>
      <c r="T44" s="103" t="s">
        <v>81</v>
      </c>
      <c r="U44" s="104" t="s">
        <v>80</v>
      </c>
      <c r="V44" s="104" t="s">
        <v>72</v>
      </c>
      <c r="W44" s="104" t="s">
        <v>71</v>
      </c>
      <c r="X44" s="105">
        <v>212077.0</v>
      </c>
    </row>
    <row r="45">
      <c r="N45" s="101" t="s">
        <v>30</v>
      </c>
      <c r="O45" s="101" t="s">
        <v>29</v>
      </c>
      <c r="P45" s="100" t="s">
        <v>269</v>
      </c>
      <c r="Q45" s="101" t="s">
        <v>48</v>
      </c>
      <c r="R45" s="106">
        <v>206.67</v>
      </c>
      <c r="T45" s="104" t="s">
        <v>21</v>
      </c>
      <c r="U45" s="104" t="s">
        <v>26</v>
      </c>
      <c r="V45" s="104" t="s">
        <v>261</v>
      </c>
      <c r="W45" s="122" t="s">
        <v>34</v>
      </c>
      <c r="X45" s="136">
        <v>396.91</v>
      </c>
    </row>
    <row r="46">
      <c r="N46" s="101" t="s">
        <v>24</v>
      </c>
      <c r="O46" s="101" t="s">
        <v>20</v>
      </c>
      <c r="P46" s="100" t="s">
        <v>270</v>
      </c>
      <c r="Q46" s="101" t="s">
        <v>91</v>
      </c>
      <c r="R46" s="102">
        <v>179.485</v>
      </c>
      <c r="T46" s="104" t="s">
        <v>12</v>
      </c>
      <c r="U46" s="104" t="s">
        <v>23</v>
      </c>
      <c r="V46" s="104" t="s">
        <v>260</v>
      </c>
      <c r="W46" s="104" t="s">
        <v>45</v>
      </c>
      <c r="X46" s="113">
        <v>162.64</v>
      </c>
    </row>
    <row r="47">
      <c r="A47" s="138"/>
      <c r="B47" s="138"/>
      <c r="C47" s="139"/>
      <c r="D47" s="139"/>
      <c r="E47" s="140"/>
      <c r="F47" s="139"/>
    </row>
    <row r="48">
      <c r="A48" s="138"/>
      <c r="B48" s="138"/>
      <c r="C48" s="139"/>
      <c r="D48" s="139"/>
      <c r="E48" s="140"/>
      <c r="F48" s="139"/>
    </row>
    <row r="49">
      <c r="A49" s="138"/>
      <c r="B49" s="138"/>
      <c r="C49" s="139"/>
      <c r="D49" s="139"/>
      <c r="E49" s="140"/>
      <c r="F49" s="139"/>
    </row>
    <row r="50">
      <c r="A50" s="138"/>
      <c r="B50" s="138"/>
      <c r="C50" s="139"/>
      <c r="D50" s="140"/>
      <c r="E50" s="139"/>
      <c r="F50" s="140"/>
    </row>
    <row r="51">
      <c r="A51" s="138"/>
      <c r="B51" s="138"/>
      <c r="C51" s="139"/>
      <c r="D51" s="139"/>
      <c r="E51" s="140"/>
      <c r="F51" s="139"/>
    </row>
    <row r="52">
      <c r="A52" s="138"/>
      <c r="B52" s="138"/>
      <c r="C52" s="139"/>
      <c r="D52" s="139"/>
      <c r="E52" s="140"/>
      <c r="F52" s="141"/>
    </row>
    <row r="53">
      <c r="A53" s="142"/>
      <c r="B53" s="138"/>
      <c r="C53" s="139"/>
      <c r="D53" s="140"/>
      <c r="E53" s="140"/>
      <c r="F53" s="139"/>
    </row>
  </sheetData>
  <dataValidations>
    <dataValidation type="custom" allowBlank="1" showDropDown="1" sqref="E2:E43 R3:R46">
      <formula1>AND(ISNUMBER(E2),(NOT(OR(NOT(ISERROR(DATEVALUE(E2))), AND(ISNUMBER(E2), LEFT(CELL("format", E2))="D")))))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314</v>
      </c>
      <c r="B1" s="144" t="s">
        <v>94</v>
      </c>
      <c r="C1" s="144" t="s">
        <v>253</v>
      </c>
      <c r="D1" s="144" t="s">
        <v>0</v>
      </c>
      <c r="E1" s="85"/>
      <c r="F1" s="88" t="s">
        <v>271</v>
      </c>
      <c r="G1" s="89" t="s">
        <v>272</v>
      </c>
      <c r="H1" s="89" t="s">
        <v>273</v>
      </c>
      <c r="I1" s="89" t="s">
        <v>274</v>
      </c>
      <c r="J1" s="90" t="s">
        <v>275</v>
      </c>
      <c r="L1" s="96" t="s">
        <v>271</v>
      </c>
      <c r="M1" s="97" t="s">
        <v>272</v>
      </c>
      <c r="N1" s="97" t="s">
        <v>273</v>
      </c>
      <c r="O1" s="97" t="s">
        <v>274</v>
      </c>
      <c r="P1" s="98" t="s">
        <v>275</v>
      </c>
      <c r="R1" s="99" t="s">
        <v>271</v>
      </c>
      <c r="S1" s="99" t="s">
        <v>278</v>
      </c>
      <c r="T1" s="99" t="s">
        <v>279</v>
      </c>
      <c r="U1" s="99" t="s">
        <v>272</v>
      </c>
      <c r="V1" s="99" t="s">
        <v>280</v>
      </c>
    </row>
    <row r="2">
      <c r="A2" s="8">
        <f>ROUNDUP(4623,0)</f>
        <v>4623</v>
      </c>
      <c r="B2" s="145" t="s">
        <v>315</v>
      </c>
      <c r="C2" s="145" t="s">
        <v>283</v>
      </c>
      <c r="D2" s="145" t="s">
        <v>128</v>
      </c>
      <c r="F2" s="93" t="s">
        <v>74</v>
      </c>
      <c r="G2" s="92" t="s">
        <v>69</v>
      </c>
      <c r="H2" s="93" t="s">
        <v>283</v>
      </c>
      <c r="I2" s="92" t="s">
        <v>118</v>
      </c>
      <c r="J2" s="94">
        <v>343.092</v>
      </c>
      <c r="L2" s="100" t="s">
        <v>74</v>
      </c>
      <c r="M2" s="101" t="s">
        <v>69</v>
      </c>
      <c r="N2" s="100" t="s">
        <v>283</v>
      </c>
      <c r="O2" s="101" t="s">
        <v>118</v>
      </c>
      <c r="P2" s="102">
        <v>343.092</v>
      </c>
      <c r="R2" s="103" t="s">
        <v>65</v>
      </c>
      <c r="S2" s="104" t="s">
        <v>58</v>
      </c>
      <c r="T2" s="104" t="s">
        <v>70</v>
      </c>
      <c r="U2" s="104" t="s">
        <v>73</v>
      </c>
      <c r="V2" s="105">
        <v>161958.0</v>
      </c>
    </row>
    <row r="3">
      <c r="A3" s="8">
        <f>ROUNDUP(1729,0)</f>
        <v>1729</v>
      </c>
      <c r="B3" s="145" t="s">
        <v>19</v>
      </c>
      <c r="C3" s="145" t="s">
        <v>285</v>
      </c>
      <c r="D3" s="145" t="s">
        <v>128</v>
      </c>
      <c r="F3" s="92" t="s">
        <v>21</v>
      </c>
      <c r="G3" s="110" t="s">
        <v>26</v>
      </c>
      <c r="H3" s="93" t="s">
        <v>285</v>
      </c>
      <c r="I3" s="92" t="s">
        <v>19</v>
      </c>
      <c r="J3" s="120">
        <v>55.4</v>
      </c>
      <c r="L3" s="101" t="s">
        <v>21</v>
      </c>
      <c r="M3" s="101" t="s">
        <v>26</v>
      </c>
      <c r="N3" s="100" t="s">
        <v>285</v>
      </c>
      <c r="O3" s="101" t="s">
        <v>19</v>
      </c>
      <c r="P3" s="106">
        <v>55.4</v>
      </c>
      <c r="R3" s="103" t="s">
        <v>68</v>
      </c>
      <c r="S3" s="104" t="s">
        <v>59</v>
      </c>
      <c r="T3" s="104" t="s">
        <v>65</v>
      </c>
      <c r="U3" s="104" t="s">
        <v>60</v>
      </c>
      <c r="V3" s="105">
        <v>144846.0</v>
      </c>
    </row>
    <row r="4">
      <c r="A4" s="8">
        <v>12496.0</v>
      </c>
      <c r="B4" s="145" t="s">
        <v>60</v>
      </c>
      <c r="C4" s="145" t="s">
        <v>281</v>
      </c>
      <c r="D4" s="145" t="s">
        <v>128</v>
      </c>
      <c r="F4" s="91" t="s">
        <v>68</v>
      </c>
      <c r="G4" s="92" t="s">
        <v>59</v>
      </c>
      <c r="H4" s="93" t="s">
        <v>281</v>
      </c>
      <c r="I4" s="92" t="s">
        <v>60</v>
      </c>
      <c r="J4" s="94">
        <v>144.846</v>
      </c>
      <c r="L4" s="107" t="s">
        <v>68</v>
      </c>
      <c r="M4" s="101" t="s">
        <v>59</v>
      </c>
      <c r="N4" s="100" t="s">
        <v>281</v>
      </c>
      <c r="O4" s="101" t="s">
        <v>60</v>
      </c>
      <c r="P4" s="102">
        <v>144.846</v>
      </c>
      <c r="R4" s="103" t="s">
        <v>68</v>
      </c>
      <c r="S4" s="104" t="s">
        <v>59</v>
      </c>
      <c r="T4" s="104" t="s">
        <v>65</v>
      </c>
      <c r="U4" s="104" t="s">
        <v>61</v>
      </c>
      <c r="V4" s="105">
        <v>203111.0</v>
      </c>
    </row>
    <row r="5">
      <c r="A5" s="17">
        <v>967.0</v>
      </c>
      <c r="B5" s="145" t="s">
        <v>22</v>
      </c>
      <c r="C5" s="145" t="s">
        <v>288</v>
      </c>
      <c r="D5" s="145" t="s">
        <v>128</v>
      </c>
      <c r="F5" s="92" t="s">
        <v>260</v>
      </c>
      <c r="G5" s="92" t="s">
        <v>45</v>
      </c>
      <c r="H5" s="93" t="s">
        <v>288</v>
      </c>
      <c r="I5" s="92" t="s">
        <v>22</v>
      </c>
      <c r="J5" s="108">
        <v>62.41</v>
      </c>
      <c r="L5" s="101" t="s">
        <v>260</v>
      </c>
      <c r="M5" s="101" t="s">
        <v>45</v>
      </c>
      <c r="N5" s="100" t="s">
        <v>288</v>
      </c>
      <c r="O5" s="101" t="s">
        <v>22</v>
      </c>
      <c r="P5" s="106">
        <v>62.41</v>
      </c>
      <c r="R5" s="103" t="s">
        <v>68</v>
      </c>
      <c r="S5" s="104" t="s">
        <v>59</v>
      </c>
      <c r="T5" s="104" t="s">
        <v>65</v>
      </c>
      <c r="U5" s="104" t="s">
        <v>75</v>
      </c>
      <c r="V5" s="105">
        <v>94264.0</v>
      </c>
    </row>
    <row r="6">
      <c r="A6" s="8">
        <v>7766.0</v>
      </c>
      <c r="B6" s="145" t="s">
        <v>61</v>
      </c>
      <c r="C6" s="145" t="s">
        <v>284</v>
      </c>
      <c r="D6" s="145" t="s">
        <v>128</v>
      </c>
      <c r="F6" s="91" t="s">
        <v>68</v>
      </c>
      <c r="G6" s="92" t="s">
        <v>59</v>
      </c>
      <c r="H6" s="93" t="s">
        <v>284</v>
      </c>
      <c r="I6" s="92" t="s">
        <v>61</v>
      </c>
      <c r="J6" s="94">
        <v>203.111</v>
      </c>
      <c r="L6" s="107" t="s">
        <v>68</v>
      </c>
      <c r="M6" s="101" t="s">
        <v>59</v>
      </c>
      <c r="N6" s="100" t="s">
        <v>284</v>
      </c>
      <c r="O6" s="101" t="s">
        <v>61</v>
      </c>
      <c r="P6" s="102">
        <v>203.111</v>
      </c>
      <c r="R6" s="103" t="s">
        <v>72</v>
      </c>
      <c r="S6" s="104" t="s">
        <v>63</v>
      </c>
      <c r="T6" s="104" t="s">
        <v>84</v>
      </c>
      <c r="U6" s="104" t="s">
        <v>64</v>
      </c>
      <c r="V6" s="109" t="s">
        <v>290</v>
      </c>
    </row>
    <row r="7">
      <c r="A7" s="8">
        <v>1924.0</v>
      </c>
      <c r="B7" s="145" t="s">
        <v>28</v>
      </c>
      <c r="C7" s="145" t="s">
        <v>292</v>
      </c>
      <c r="D7" s="145" t="s">
        <v>128</v>
      </c>
      <c r="F7" s="93" t="s">
        <v>267</v>
      </c>
      <c r="G7" s="92" t="s">
        <v>43</v>
      </c>
      <c r="H7" s="93" t="s">
        <v>292</v>
      </c>
      <c r="I7" s="92" t="s">
        <v>28</v>
      </c>
      <c r="J7" s="108">
        <v>49.98</v>
      </c>
      <c r="L7" s="101" t="s">
        <v>259</v>
      </c>
      <c r="M7" s="101" t="s">
        <v>43</v>
      </c>
      <c r="N7" s="100" t="s">
        <v>292</v>
      </c>
      <c r="O7" s="101" t="s">
        <v>28</v>
      </c>
      <c r="P7" s="106">
        <v>49.98</v>
      </c>
      <c r="R7" s="104" t="s">
        <v>24</v>
      </c>
      <c r="S7" s="104" t="s">
        <v>20</v>
      </c>
      <c r="T7" s="104" t="s">
        <v>267</v>
      </c>
      <c r="U7" s="104" t="s">
        <v>88</v>
      </c>
      <c r="V7" s="111">
        <v>440971.0</v>
      </c>
    </row>
    <row r="8">
      <c r="A8" s="8">
        <v>2269.0</v>
      </c>
      <c r="B8" s="145" t="s">
        <v>31</v>
      </c>
      <c r="C8" s="145" t="s">
        <v>294</v>
      </c>
      <c r="D8" s="145" t="s">
        <v>128</v>
      </c>
      <c r="F8" s="92" t="s">
        <v>21</v>
      </c>
      <c r="G8" s="110" t="s">
        <v>26</v>
      </c>
      <c r="H8" s="93" t="s">
        <v>294</v>
      </c>
      <c r="I8" s="93" t="s">
        <v>31</v>
      </c>
      <c r="J8" s="121">
        <v>47.8</v>
      </c>
      <c r="L8" s="101" t="s">
        <v>21</v>
      </c>
      <c r="M8" s="101" t="s">
        <v>26</v>
      </c>
      <c r="N8" s="100" t="s">
        <v>294</v>
      </c>
      <c r="O8" s="100" t="s">
        <v>31</v>
      </c>
      <c r="P8" s="112">
        <v>47.8</v>
      </c>
      <c r="R8" s="104" t="s">
        <v>261</v>
      </c>
      <c r="S8" s="104" t="s">
        <v>34</v>
      </c>
      <c r="T8" s="104" t="s">
        <v>295</v>
      </c>
      <c r="U8" s="104" t="s">
        <v>120</v>
      </c>
      <c r="V8" s="113">
        <v>134.66</v>
      </c>
    </row>
    <row r="9">
      <c r="A9" s="8">
        <v>1330.0</v>
      </c>
      <c r="B9" s="145" t="s">
        <v>64</v>
      </c>
      <c r="C9" s="145" t="s">
        <v>287</v>
      </c>
      <c r="D9" s="145" t="s">
        <v>128</v>
      </c>
      <c r="F9" s="91" t="s">
        <v>72</v>
      </c>
      <c r="G9" s="92" t="s">
        <v>63</v>
      </c>
      <c r="H9" s="93" t="s">
        <v>287</v>
      </c>
      <c r="I9" s="92" t="s">
        <v>64</v>
      </c>
      <c r="J9" s="94">
        <v>59.2</v>
      </c>
      <c r="L9" s="107" t="s">
        <v>72</v>
      </c>
      <c r="M9" s="101" t="s">
        <v>63</v>
      </c>
      <c r="N9" s="100" t="s">
        <v>287</v>
      </c>
      <c r="O9" s="101" t="s">
        <v>64</v>
      </c>
      <c r="P9" s="102">
        <v>59.2</v>
      </c>
      <c r="R9" s="104" t="s">
        <v>296</v>
      </c>
      <c r="S9" s="104" t="s">
        <v>297</v>
      </c>
      <c r="T9" s="104" t="s">
        <v>12</v>
      </c>
      <c r="U9" s="104" t="s">
        <v>11</v>
      </c>
      <c r="V9" s="105">
        <v>1044466.0</v>
      </c>
    </row>
    <row r="10">
      <c r="A10" s="8">
        <v>2549.0</v>
      </c>
      <c r="B10" s="145" t="s">
        <v>33</v>
      </c>
      <c r="C10" s="145" t="s">
        <v>298</v>
      </c>
      <c r="D10" s="145" t="s">
        <v>128</v>
      </c>
      <c r="F10" s="92" t="s">
        <v>12</v>
      </c>
      <c r="G10" s="110" t="s">
        <v>23</v>
      </c>
      <c r="H10" s="93" t="s">
        <v>298</v>
      </c>
      <c r="I10" s="92" t="s">
        <v>33</v>
      </c>
      <c r="J10" s="108">
        <v>200.0</v>
      </c>
      <c r="L10" s="101" t="s">
        <v>12</v>
      </c>
      <c r="M10" s="101" t="s">
        <v>23</v>
      </c>
      <c r="N10" s="100" t="s">
        <v>298</v>
      </c>
      <c r="O10" s="101" t="s">
        <v>33</v>
      </c>
      <c r="P10" s="106">
        <v>200.0</v>
      </c>
      <c r="R10" s="104" t="s">
        <v>296</v>
      </c>
      <c r="S10" s="104" t="s">
        <v>297</v>
      </c>
      <c r="T10" s="104" t="s">
        <v>24</v>
      </c>
      <c r="U10" s="104" t="s">
        <v>20</v>
      </c>
      <c r="V10" s="105">
        <v>1144628.0</v>
      </c>
    </row>
    <row r="11">
      <c r="A11" s="8">
        <v>11369.0</v>
      </c>
      <c r="B11" s="145" t="s">
        <v>35</v>
      </c>
      <c r="C11" s="145" t="s">
        <v>299</v>
      </c>
      <c r="D11" s="145" t="s">
        <v>128</v>
      </c>
      <c r="F11" s="92" t="s">
        <v>12</v>
      </c>
      <c r="G11" s="110" t="s">
        <v>23</v>
      </c>
      <c r="H11" s="93" t="s">
        <v>299</v>
      </c>
      <c r="I11" s="92" t="s">
        <v>35</v>
      </c>
      <c r="J11" s="108">
        <v>16.37</v>
      </c>
      <c r="L11" s="101" t="s">
        <v>12</v>
      </c>
      <c r="M11" s="101" t="s">
        <v>23</v>
      </c>
      <c r="N11" s="100" t="s">
        <v>299</v>
      </c>
      <c r="O11" s="101" t="s">
        <v>35</v>
      </c>
      <c r="P11" s="106">
        <v>16.37</v>
      </c>
      <c r="R11" s="104" t="s">
        <v>27</v>
      </c>
      <c r="S11" s="104" t="s">
        <v>17</v>
      </c>
      <c r="T11" s="104" t="s">
        <v>266</v>
      </c>
      <c r="U11" s="104" t="s">
        <v>119</v>
      </c>
      <c r="V11" s="113">
        <v>275.58</v>
      </c>
    </row>
    <row r="12">
      <c r="A12" s="8">
        <v>2561.0</v>
      </c>
      <c r="B12" s="145" t="s">
        <v>36</v>
      </c>
      <c r="C12" s="145" t="s">
        <v>300</v>
      </c>
      <c r="D12" s="145" t="s">
        <v>128</v>
      </c>
      <c r="F12" s="92" t="s">
        <v>12</v>
      </c>
      <c r="G12" s="110" t="s">
        <v>23</v>
      </c>
      <c r="H12" s="93" t="s">
        <v>300</v>
      </c>
      <c r="I12" s="92" t="s">
        <v>36</v>
      </c>
      <c r="J12" s="108">
        <v>97.42</v>
      </c>
      <c r="L12" s="101" t="s">
        <v>12</v>
      </c>
      <c r="M12" s="101" t="s">
        <v>23</v>
      </c>
      <c r="N12" s="100" t="s">
        <v>300</v>
      </c>
      <c r="O12" s="101" t="s">
        <v>36</v>
      </c>
      <c r="P12" s="106">
        <v>97.42</v>
      </c>
      <c r="R12" s="104" t="s">
        <v>27</v>
      </c>
      <c r="S12" s="104" t="s">
        <v>17</v>
      </c>
      <c r="T12" s="104" t="s">
        <v>301</v>
      </c>
      <c r="U12" s="104" t="s">
        <v>37</v>
      </c>
      <c r="V12" s="113">
        <v>154.22</v>
      </c>
    </row>
    <row r="13">
      <c r="A13" s="8">
        <f>3105+208</f>
        <v>3313</v>
      </c>
      <c r="B13" s="145" t="s">
        <v>67</v>
      </c>
      <c r="C13" s="145" t="s">
        <v>302</v>
      </c>
      <c r="D13" s="145" t="s">
        <v>128</v>
      </c>
      <c r="E13" s="146"/>
      <c r="F13" s="91" t="s">
        <v>77</v>
      </c>
      <c r="G13" s="134" t="s">
        <v>76</v>
      </c>
      <c r="H13" s="127" t="s">
        <v>302</v>
      </c>
      <c r="I13" s="134" t="s">
        <v>67</v>
      </c>
      <c r="J13" s="121">
        <v>352.4</v>
      </c>
      <c r="L13" s="107" t="s">
        <v>77</v>
      </c>
      <c r="M13" s="115" t="s">
        <v>76</v>
      </c>
      <c r="N13" s="116" t="s">
        <v>302</v>
      </c>
      <c r="O13" s="115" t="s">
        <v>67</v>
      </c>
      <c r="P13" s="112">
        <v>352.4</v>
      </c>
      <c r="R13" s="104" t="s">
        <v>27</v>
      </c>
      <c r="S13" s="104" t="s">
        <v>17</v>
      </c>
      <c r="T13" s="104" t="s">
        <v>293</v>
      </c>
      <c r="U13" s="104" t="s">
        <v>54</v>
      </c>
      <c r="V13" s="113">
        <v>13.78</v>
      </c>
    </row>
    <row r="14">
      <c r="A14" s="8">
        <v>3579.0</v>
      </c>
      <c r="B14" s="145" t="s">
        <v>37</v>
      </c>
      <c r="C14" s="145" t="s">
        <v>291</v>
      </c>
      <c r="D14" s="145" t="s">
        <v>128</v>
      </c>
      <c r="F14" s="92" t="s">
        <v>27</v>
      </c>
      <c r="G14" s="110" t="s">
        <v>17</v>
      </c>
      <c r="H14" s="93" t="s">
        <v>291</v>
      </c>
      <c r="I14" s="92" t="s">
        <v>37</v>
      </c>
      <c r="J14" s="108">
        <v>154.22</v>
      </c>
      <c r="L14" s="101" t="s">
        <v>27</v>
      </c>
      <c r="M14" s="101" t="s">
        <v>17</v>
      </c>
      <c r="N14" s="100" t="s">
        <v>291</v>
      </c>
      <c r="O14" s="101" t="s">
        <v>37</v>
      </c>
      <c r="P14" s="106">
        <v>154.22</v>
      </c>
      <c r="R14" s="104" t="s">
        <v>24</v>
      </c>
      <c r="S14" s="104" t="s">
        <v>20</v>
      </c>
      <c r="T14" s="104" t="s">
        <v>262</v>
      </c>
      <c r="U14" s="104" t="s">
        <v>89</v>
      </c>
      <c r="V14" s="105">
        <v>1046393.0</v>
      </c>
    </row>
    <row r="15">
      <c r="A15" s="8">
        <v>3692.0</v>
      </c>
      <c r="B15" s="145" t="s">
        <v>38</v>
      </c>
      <c r="C15" s="145" t="s">
        <v>303</v>
      </c>
      <c r="D15" s="145" t="s">
        <v>128</v>
      </c>
      <c r="F15" s="92" t="s">
        <v>21</v>
      </c>
      <c r="G15" s="110" t="s">
        <v>26</v>
      </c>
      <c r="H15" s="93" t="s">
        <v>303</v>
      </c>
      <c r="I15" s="92" t="s">
        <v>38</v>
      </c>
      <c r="J15" s="108">
        <v>170.45</v>
      </c>
      <c r="L15" s="101" t="s">
        <v>21</v>
      </c>
      <c r="M15" s="101" t="s">
        <v>26</v>
      </c>
      <c r="N15" s="100" t="s">
        <v>303</v>
      </c>
      <c r="O15" s="101" t="s">
        <v>38</v>
      </c>
      <c r="P15" s="106">
        <v>170.45</v>
      </c>
      <c r="R15" s="104" t="s">
        <v>24</v>
      </c>
      <c r="S15" s="104" t="s">
        <v>20</v>
      </c>
      <c r="T15" s="104" t="s">
        <v>264</v>
      </c>
      <c r="U15" s="104" t="s">
        <v>90</v>
      </c>
      <c r="V15" s="105">
        <v>924619.0</v>
      </c>
    </row>
    <row r="16">
      <c r="A16" s="8">
        <v>4425.0</v>
      </c>
      <c r="B16" s="145" t="s">
        <v>41</v>
      </c>
      <c r="C16" s="145" t="s">
        <v>301</v>
      </c>
      <c r="D16" s="145" t="s">
        <v>128</v>
      </c>
      <c r="F16" s="93" t="s">
        <v>267</v>
      </c>
      <c r="G16" s="92" t="s">
        <v>43</v>
      </c>
      <c r="H16" s="127" t="s">
        <v>301</v>
      </c>
      <c r="I16" s="128" t="s">
        <v>41</v>
      </c>
      <c r="J16" s="119">
        <v>138.45</v>
      </c>
      <c r="L16" s="101" t="s">
        <v>259</v>
      </c>
      <c r="M16" s="101" t="s">
        <v>43</v>
      </c>
      <c r="N16" s="116" t="s">
        <v>301</v>
      </c>
      <c r="O16" s="117" t="s">
        <v>41</v>
      </c>
      <c r="P16" s="118">
        <v>138.45</v>
      </c>
      <c r="R16" s="104" t="s">
        <v>24</v>
      </c>
      <c r="S16" s="104" t="s">
        <v>20</v>
      </c>
      <c r="T16" s="104" t="s">
        <v>269</v>
      </c>
      <c r="U16" s="104" t="s">
        <v>91</v>
      </c>
      <c r="V16" s="105">
        <v>179485.0</v>
      </c>
    </row>
    <row r="17">
      <c r="A17" s="8">
        <v>2672.0</v>
      </c>
      <c r="B17" s="145" t="s">
        <v>42</v>
      </c>
      <c r="C17" s="145" t="s">
        <v>289</v>
      </c>
      <c r="D17" s="145" t="s">
        <v>128</v>
      </c>
      <c r="F17" s="93" t="s">
        <v>262</v>
      </c>
      <c r="G17" s="92" t="s">
        <v>34</v>
      </c>
      <c r="H17" s="93" t="s">
        <v>289</v>
      </c>
      <c r="I17" s="92" t="s">
        <v>120</v>
      </c>
      <c r="J17" s="108">
        <v>134.66</v>
      </c>
      <c r="L17" s="101" t="s">
        <v>261</v>
      </c>
      <c r="M17" s="101" t="s">
        <v>34</v>
      </c>
      <c r="N17" s="100" t="s">
        <v>289</v>
      </c>
      <c r="O17" s="101" t="s">
        <v>120</v>
      </c>
      <c r="P17" s="106">
        <v>134.66</v>
      </c>
      <c r="R17" s="104" t="s">
        <v>12</v>
      </c>
      <c r="S17" s="104" t="s">
        <v>23</v>
      </c>
      <c r="T17" s="104" t="s">
        <v>263</v>
      </c>
      <c r="U17" s="104" t="s">
        <v>32</v>
      </c>
      <c r="V17" s="113">
        <v>194.85</v>
      </c>
    </row>
    <row r="18">
      <c r="A18" s="8">
        <v>6285.0</v>
      </c>
      <c r="B18" s="145" t="s">
        <v>71</v>
      </c>
      <c r="C18" s="145" t="s">
        <v>305</v>
      </c>
      <c r="D18" s="145" t="s">
        <v>128</v>
      </c>
      <c r="F18" s="91" t="s">
        <v>81</v>
      </c>
      <c r="G18" s="92" t="s">
        <v>80</v>
      </c>
      <c r="H18" s="93" t="s">
        <v>305</v>
      </c>
      <c r="I18" s="92" t="s">
        <v>71</v>
      </c>
      <c r="J18" s="94">
        <v>212.077</v>
      </c>
      <c r="L18" s="107" t="s">
        <v>81</v>
      </c>
      <c r="M18" s="101" t="s">
        <v>80</v>
      </c>
      <c r="N18" s="100" t="s">
        <v>305</v>
      </c>
      <c r="O18" s="101" t="s">
        <v>71</v>
      </c>
      <c r="P18" s="102">
        <v>212.077</v>
      </c>
      <c r="R18" s="104" t="s">
        <v>12</v>
      </c>
      <c r="S18" s="104" t="s">
        <v>23</v>
      </c>
      <c r="T18" s="104" t="s">
        <v>302</v>
      </c>
      <c r="U18" s="104" t="s">
        <v>33</v>
      </c>
      <c r="V18" s="113">
        <v>200.0</v>
      </c>
    </row>
    <row r="19">
      <c r="A19" s="8">
        <v>1826.0</v>
      </c>
      <c r="B19" s="145" t="s">
        <v>44</v>
      </c>
      <c r="C19" s="145" t="s">
        <v>295</v>
      </c>
      <c r="D19" s="145" t="s">
        <v>128</v>
      </c>
      <c r="F19" s="92" t="s">
        <v>12</v>
      </c>
      <c r="G19" s="110" t="s">
        <v>23</v>
      </c>
      <c r="H19" s="93" t="s">
        <v>295</v>
      </c>
      <c r="I19" s="92" t="s">
        <v>44</v>
      </c>
      <c r="J19" s="108">
        <v>55.23</v>
      </c>
      <c r="L19" s="101" t="s">
        <v>12</v>
      </c>
      <c r="M19" s="101" t="s">
        <v>23</v>
      </c>
      <c r="N19" s="100" t="s">
        <v>295</v>
      </c>
      <c r="O19" s="101" t="s">
        <v>44</v>
      </c>
      <c r="P19" s="106">
        <v>55.23</v>
      </c>
      <c r="R19" s="104" t="s">
        <v>12</v>
      </c>
      <c r="S19" s="104" t="s">
        <v>23</v>
      </c>
      <c r="T19" s="104" t="s">
        <v>291</v>
      </c>
      <c r="U19" s="104" t="s">
        <v>35</v>
      </c>
      <c r="V19" s="113">
        <v>16.37</v>
      </c>
    </row>
    <row r="20">
      <c r="A20" s="8">
        <v>1223.0</v>
      </c>
      <c r="B20" s="145" t="s">
        <v>46</v>
      </c>
      <c r="C20" s="145" t="s">
        <v>307</v>
      </c>
      <c r="D20" s="145" t="s">
        <v>128</v>
      </c>
      <c r="F20" s="92" t="s">
        <v>30</v>
      </c>
      <c r="G20" s="110" t="s">
        <v>29</v>
      </c>
      <c r="H20" s="93" t="s">
        <v>307</v>
      </c>
      <c r="I20" s="92" t="s">
        <v>46</v>
      </c>
      <c r="J20" s="108">
        <v>71.72</v>
      </c>
      <c r="L20" s="101" t="s">
        <v>30</v>
      </c>
      <c r="M20" s="101" t="s">
        <v>29</v>
      </c>
      <c r="N20" s="100" t="s">
        <v>307</v>
      </c>
      <c r="O20" s="101" t="s">
        <v>46</v>
      </c>
      <c r="P20" s="106">
        <v>71.72</v>
      </c>
      <c r="R20" s="104" t="s">
        <v>12</v>
      </c>
      <c r="S20" s="104" t="s">
        <v>23</v>
      </c>
      <c r="T20" s="104" t="s">
        <v>303</v>
      </c>
      <c r="U20" s="104" t="s">
        <v>36</v>
      </c>
      <c r="V20" s="113">
        <v>97.42</v>
      </c>
    </row>
    <row r="21">
      <c r="A21" s="8">
        <v>4675.0</v>
      </c>
      <c r="B21" s="145" t="s">
        <v>73</v>
      </c>
      <c r="C21" s="145" t="s">
        <v>276</v>
      </c>
      <c r="D21" s="145" t="s">
        <v>128</v>
      </c>
      <c r="F21" s="91" t="s">
        <v>65</v>
      </c>
      <c r="G21" s="92" t="s">
        <v>58</v>
      </c>
      <c r="H21" s="93" t="s">
        <v>276</v>
      </c>
      <c r="I21" s="92" t="s">
        <v>73</v>
      </c>
      <c r="J21" s="94">
        <v>161.958</v>
      </c>
      <c r="L21" s="107" t="s">
        <v>65</v>
      </c>
      <c r="M21" s="101" t="s">
        <v>58</v>
      </c>
      <c r="N21" s="100" t="s">
        <v>276</v>
      </c>
      <c r="O21" s="101" t="s">
        <v>73</v>
      </c>
      <c r="P21" s="102">
        <v>161.958</v>
      </c>
      <c r="R21" s="104" t="s">
        <v>12</v>
      </c>
      <c r="S21" s="104" t="s">
        <v>23</v>
      </c>
      <c r="T21" s="104" t="s">
        <v>259</v>
      </c>
      <c r="U21" s="104" t="s">
        <v>43</v>
      </c>
      <c r="V21" s="113">
        <v>375.38</v>
      </c>
    </row>
    <row r="22">
      <c r="A22" s="8">
        <v>3422.0</v>
      </c>
      <c r="B22" s="145" t="s">
        <v>47</v>
      </c>
      <c r="C22" s="145" t="s">
        <v>308</v>
      </c>
      <c r="D22" s="145" t="s">
        <v>128</v>
      </c>
      <c r="F22" s="92" t="s">
        <v>260</v>
      </c>
      <c r="G22" s="92" t="s">
        <v>45</v>
      </c>
      <c r="H22" s="93" t="s">
        <v>308</v>
      </c>
      <c r="I22" s="92" t="s">
        <v>47</v>
      </c>
      <c r="J22" s="108">
        <v>103.54</v>
      </c>
      <c r="L22" s="101" t="s">
        <v>260</v>
      </c>
      <c r="M22" s="101" t="s">
        <v>45</v>
      </c>
      <c r="N22" s="100" t="s">
        <v>308</v>
      </c>
      <c r="O22" s="101" t="s">
        <v>47</v>
      </c>
      <c r="P22" s="106">
        <v>103.54</v>
      </c>
      <c r="R22" s="104" t="s">
        <v>12</v>
      </c>
      <c r="S22" s="104" t="s">
        <v>23</v>
      </c>
      <c r="T22" s="104" t="s">
        <v>276</v>
      </c>
      <c r="U22" s="104" t="s">
        <v>44</v>
      </c>
      <c r="V22" s="113">
        <v>55.23</v>
      </c>
    </row>
    <row r="23">
      <c r="A23" s="8">
        <v>4287.0</v>
      </c>
      <c r="B23" s="145" t="s">
        <v>75</v>
      </c>
      <c r="C23" s="145" t="s">
        <v>286</v>
      </c>
      <c r="D23" s="145" t="s">
        <v>128</v>
      </c>
      <c r="F23" s="91" t="s">
        <v>68</v>
      </c>
      <c r="G23" s="92" t="s">
        <v>59</v>
      </c>
      <c r="H23" s="93" t="s">
        <v>286</v>
      </c>
      <c r="I23" s="92" t="s">
        <v>75</v>
      </c>
      <c r="J23" s="94">
        <v>94.264</v>
      </c>
      <c r="L23" s="107" t="s">
        <v>68</v>
      </c>
      <c r="M23" s="101" t="s">
        <v>59</v>
      </c>
      <c r="N23" s="100" t="s">
        <v>286</v>
      </c>
      <c r="O23" s="101" t="s">
        <v>75</v>
      </c>
      <c r="P23" s="102">
        <v>94.264</v>
      </c>
      <c r="R23" s="104" t="s">
        <v>12</v>
      </c>
      <c r="S23" s="104" t="s">
        <v>23</v>
      </c>
      <c r="T23" s="104" t="s">
        <v>306</v>
      </c>
      <c r="U23" s="104" t="s">
        <v>51</v>
      </c>
      <c r="V23" s="113">
        <v>41.33</v>
      </c>
    </row>
    <row r="24">
      <c r="A24" s="8">
        <v>3554.0</v>
      </c>
      <c r="B24" s="145" t="s">
        <v>49</v>
      </c>
      <c r="C24" s="145" t="s">
        <v>309</v>
      </c>
      <c r="D24" s="145" t="s">
        <v>128</v>
      </c>
      <c r="F24" s="92" t="s">
        <v>260</v>
      </c>
      <c r="G24" s="92" t="s">
        <v>45</v>
      </c>
      <c r="H24" s="93" t="s">
        <v>309</v>
      </c>
      <c r="I24" s="92" t="s">
        <v>49</v>
      </c>
      <c r="J24" s="108">
        <v>80.4</v>
      </c>
      <c r="L24" s="101" t="s">
        <v>260</v>
      </c>
      <c r="M24" s="101" t="s">
        <v>45</v>
      </c>
      <c r="N24" s="100" t="s">
        <v>309</v>
      </c>
      <c r="O24" s="101" t="s">
        <v>49</v>
      </c>
      <c r="P24" s="106">
        <v>80.4</v>
      </c>
      <c r="R24" s="104" t="s">
        <v>260</v>
      </c>
      <c r="S24" s="122" t="s">
        <v>23</v>
      </c>
      <c r="T24" s="104" t="s">
        <v>310</v>
      </c>
      <c r="U24" s="104" t="s">
        <v>50</v>
      </c>
      <c r="V24" s="123">
        <v>224.38</v>
      </c>
    </row>
    <row r="25">
      <c r="A25" s="8">
        <v>3964.0</v>
      </c>
      <c r="B25" s="147" t="s">
        <v>86</v>
      </c>
      <c r="C25" s="145" t="s">
        <v>311</v>
      </c>
      <c r="D25" s="145" t="s">
        <v>128</v>
      </c>
      <c r="F25" s="91" t="s">
        <v>77</v>
      </c>
      <c r="G25" s="134" t="s">
        <v>76</v>
      </c>
      <c r="H25" s="93" t="s">
        <v>311</v>
      </c>
      <c r="I25" s="92" t="s">
        <v>86</v>
      </c>
      <c r="J25" s="94">
        <v>151.0</v>
      </c>
      <c r="L25" s="107" t="s">
        <v>77</v>
      </c>
      <c r="M25" s="115" t="s">
        <v>76</v>
      </c>
      <c r="N25" s="100" t="s">
        <v>311</v>
      </c>
      <c r="O25" s="101" t="s">
        <v>86</v>
      </c>
      <c r="P25" s="102">
        <v>151.0</v>
      </c>
      <c r="R25" s="104" t="s">
        <v>21</v>
      </c>
      <c r="S25" s="104" t="s">
        <v>26</v>
      </c>
      <c r="T25" s="104" t="s">
        <v>284</v>
      </c>
      <c r="U25" s="104" t="s">
        <v>19</v>
      </c>
      <c r="V25" s="113">
        <v>55.4</v>
      </c>
    </row>
    <row r="26">
      <c r="A26" s="8">
        <v>1169.0</v>
      </c>
      <c r="B26" s="145" t="s">
        <v>50</v>
      </c>
      <c r="C26" s="145" t="s">
        <v>304</v>
      </c>
      <c r="D26" s="145" t="s">
        <v>128</v>
      </c>
      <c r="F26" s="93" t="s">
        <v>24</v>
      </c>
      <c r="G26" s="93" t="s">
        <v>23</v>
      </c>
      <c r="H26" s="93" t="s">
        <v>304</v>
      </c>
      <c r="I26" s="92" t="s">
        <v>50</v>
      </c>
      <c r="J26" s="119">
        <v>224.38</v>
      </c>
      <c r="L26" s="101" t="s">
        <v>260</v>
      </c>
      <c r="M26" s="100" t="s">
        <v>23</v>
      </c>
      <c r="N26" s="100" t="s">
        <v>304</v>
      </c>
      <c r="O26" s="101" t="s">
        <v>50</v>
      </c>
      <c r="P26" s="118">
        <v>224.38</v>
      </c>
      <c r="R26" s="104" t="s">
        <v>21</v>
      </c>
      <c r="S26" s="104" t="s">
        <v>26</v>
      </c>
      <c r="T26" s="104" t="s">
        <v>289</v>
      </c>
      <c r="U26" s="104" t="s">
        <v>38</v>
      </c>
      <c r="V26" s="113">
        <v>170.45</v>
      </c>
    </row>
    <row r="27">
      <c r="A27" s="8">
        <f>2842+3</f>
        <v>2845</v>
      </c>
      <c r="B27" s="147" t="s">
        <v>82</v>
      </c>
      <c r="C27" s="145" t="s">
        <v>310</v>
      </c>
      <c r="D27" s="145" t="s">
        <v>128</v>
      </c>
      <c r="F27" s="91" t="s">
        <v>77</v>
      </c>
      <c r="G27" s="137" t="s">
        <v>76</v>
      </c>
      <c r="H27" s="127" t="s">
        <v>310</v>
      </c>
      <c r="I27" s="137" t="s">
        <v>82</v>
      </c>
      <c r="J27" s="121">
        <v>321.0</v>
      </c>
      <c r="L27" s="107" t="s">
        <v>81</v>
      </c>
      <c r="M27" s="115" t="s">
        <v>76</v>
      </c>
      <c r="N27" s="116" t="s">
        <v>310</v>
      </c>
      <c r="O27" s="115" t="s">
        <v>82</v>
      </c>
      <c r="P27" s="112">
        <v>321.0</v>
      </c>
      <c r="R27" s="104" t="s">
        <v>21</v>
      </c>
      <c r="S27" s="104" t="s">
        <v>26</v>
      </c>
      <c r="T27" s="104" t="s">
        <v>312</v>
      </c>
      <c r="U27" s="104" t="s">
        <v>52</v>
      </c>
      <c r="V27" s="113">
        <v>35.19</v>
      </c>
    </row>
    <row r="28">
      <c r="A28" s="8">
        <v>1978.0</v>
      </c>
      <c r="B28" s="145" t="s">
        <v>51</v>
      </c>
      <c r="C28" s="145" t="s">
        <v>306</v>
      </c>
      <c r="D28" s="145" t="s">
        <v>128</v>
      </c>
      <c r="F28" s="92" t="s">
        <v>12</v>
      </c>
      <c r="G28" s="110" t="s">
        <v>23</v>
      </c>
      <c r="H28" s="110" t="s">
        <v>306</v>
      </c>
      <c r="I28" s="92" t="s">
        <v>51</v>
      </c>
      <c r="J28" s="108">
        <v>41.33</v>
      </c>
      <c r="L28" s="101" t="s">
        <v>12</v>
      </c>
      <c r="M28" s="101" t="s">
        <v>23</v>
      </c>
      <c r="N28" s="101" t="s">
        <v>306</v>
      </c>
      <c r="O28" s="101" t="s">
        <v>51</v>
      </c>
      <c r="P28" s="106">
        <v>41.33</v>
      </c>
      <c r="R28" s="104" t="s">
        <v>21</v>
      </c>
      <c r="S28" s="104" t="s">
        <v>26</v>
      </c>
      <c r="T28" s="122" t="s">
        <v>294</v>
      </c>
      <c r="U28" s="122" t="s">
        <v>31</v>
      </c>
      <c r="V28" s="126">
        <v>47.8</v>
      </c>
    </row>
    <row r="29">
      <c r="A29" s="148">
        <v>2088.0</v>
      </c>
      <c r="B29" s="147" t="s">
        <v>52</v>
      </c>
      <c r="C29" s="145" t="s">
        <v>312</v>
      </c>
      <c r="D29" s="145" t="s">
        <v>128</v>
      </c>
      <c r="F29" s="92" t="s">
        <v>21</v>
      </c>
      <c r="G29" s="110" t="s">
        <v>26</v>
      </c>
      <c r="H29" s="110" t="s">
        <v>312</v>
      </c>
      <c r="I29" s="92" t="s">
        <v>52</v>
      </c>
      <c r="J29" s="108">
        <v>35.19</v>
      </c>
      <c r="L29" s="101" t="s">
        <v>21</v>
      </c>
      <c r="M29" s="101" t="s">
        <v>26</v>
      </c>
      <c r="N29" s="101" t="s">
        <v>312</v>
      </c>
      <c r="O29" s="101" t="s">
        <v>52</v>
      </c>
      <c r="P29" s="106">
        <v>35.19</v>
      </c>
      <c r="R29" s="122" t="s">
        <v>74</v>
      </c>
      <c r="S29" s="104" t="s">
        <v>69</v>
      </c>
      <c r="T29" s="122" t="s">
        <v>283</v>
      </c>
      <c r="U29" s="104" t="s">
        <v>118</v>
      </c>
      <c r="V29" s="105">
        <v>343092.0</v>
      </c>
    </row>
    <row r="30">
      <c r="A30" s="8">
        <v>3785.0</v>
      </c>
      <c r="B30" s="145" t="s">
        <v>53</v>
      </c>
      <c r="C30" s="145" t="s">
        <v>313</v>
      </c>
      <c r="D30" s="145" t="s">
        <v>128</v>
      </c>
      <c r="F30" s="93" t="s">
        <v>267</v>
      </c>
      <c r="G30" s="92" t="s">
        <v>43</v>
      </c>
      <c r="H30" s="110" t="s">
        <v>313</v>
      </c>
      <c r="I30" s="92" t="s">
        <v>53</v>
      </c>
      <c r="J30" s="108">
        <v>72.18</v>
      </c>
      <c r="L30" s="101" t="s">
        <v>259</v>
      </c>
      <c r="M30" s="101" t="s">
        <v>43</v>
      </c>
      <c r="N30" s="101" t="s">
        <v>313</v>
      </c>
      <c r="O30" s="101" t="s">
        <v>53</v>
      </c>
      <c r="P30" s="106">
        <v>72.18</v>
      </c>
      <c r="R30" s="104" t="s">
        <v>259</v>
      </c>
      <c r="S30" s="104" t="s">
        <v>43</v>
      </c>
      <c r="T30" s="104" t="s">
        <v>298</v>
      </c>
      <c r="U30" s="104" t="s">
        <v>28</v>
      </c>
      <c r="V30" s="113">
        <v>49.98</v>
      </c>
    </row>
    <row r="31">
      <c r="A31" s="8">
        <v>2181.0</v>
      </c>
      <c r="B31" s="147" t="s">
        <v>54</v>
      </c>
      <c r="C31" s="145" t="s">
        <v>293</v>
      </c>
      <c r="D31" s="145" t="s">
        <v>128</v>
      </c>
      <c r="F31" s="92" t="s">
        <v>27</v>
      </c>
      <c r="G31" s="110" t="s">
        <v>17</v>
      </c>
      <c r="H31" s="110" t="s">
        <v>293</v>
      </c>
      <c r="I31" s="92" t="s">
        <v>54</v>
      </c>
      <c r="J31" s="108">
        <v>13.78</v>
      </c>
      <c r="L31" s="101" t="s">
        <v>27</v>
      </c>
      <c r="M31" s="101" t="s">
        <v>17</v>
      </c>
      <c r="N31" s="101" t="s">
        <v>293</v>
      </c>
      <c r="O31" s="101" t="s">
        <v>54</v>
      </c>
      <c r="P31" s="106">
        <v>13.78</v>
      </c>
      <c r="R31" s="104" t="s">
        <v>259</v>
      </c>
      <c r="S31" s="104" t="s">
        <v>43</v>
      </c>
      <c r="T31" s="104" t="s">
        <v>313</v>
      </c>
      <c r="U31" s="104" t="s">
        <v>53</v>
      </c>
      <c r="V31" s="113">
        <v>72.18</v>
      </c>
    </row>
    <row r="32">
      <c r="A32" s="149">
        <v>28496.0</v>
      </c>
      <c r="B32" s="147" t="s">
        <v>11</v>
      </c>
      <c r="C32" s="145" t="s">
        <v>12</v>
      </c>
      <c r="D32" s="145" t="s">
        <v>13</v>
      </c>
      <c r="F32" s="92" t="s">
        <v>27</v>
      </c>
      <c r="G32" s="110" t="s">
        <v>17</v>
      </c>
      <c r="H32" s="93" t="s">
        <v>259</v>
      </c>
      <c r="I32" s="92" t="s">
        <v>119</v>
      </c>
      <c r="J32" s="108">
        <v>275.58</v>
      </c>
      <c r="L32" s="101" t="s">
        <v>27</v>
      </c>
      <c r="M32" s="101" t="s">
        <v>17</v>
      </c>
      <c r="N32" s="100" t="s">
        <v>259</v>
      </c>
      <c r="O32" s="101" t="s">
        <v>119</v>
      </c>
      <c r="P32" s="106">
        <v>275.58</v>
      </c>
      <c r="R32" s="104" t="s">
        <v>259</v>
      </c>
      <c r="S32" s="104" t="s">
        <v>43</v>
      </c>
      <c r="T32" s="122" t="s">
        <v>305</v>
      </c>
      <c r="U32" s="122" t="s">
        <v>41</v>
      </c>
      <c r="V32" s="123">
        <v>138.45</v>
      </c>
    </row>
    <row r="33">
      <c r="A33" s="149">
        <v>6252.0</v>
      </c>
      <c r="B33" s="147" t="s">
        <v>17</v>
      </c>
      <c r="C33" s="145" t="s">
        <v>18</v>
      </c>
      <c r="D33" s="145" t="s">
        <v>13</v>
      </c>
      <c r="F33" s="92" t="s">
        <v>24</v>
      </c>
      <c r="G33" s="92" t="s">
        <v>20</v>
      </c>
      <c r="H33" s="93" t="s">
        <v>260</v>
      </c>
      <c r="I33" s="92" t="s">
        <v>88</v>
      </c>
      <c r="J33" s="114">
        <v>440.971</v>
      </c>
      <c r="L33" s="101" t="s">
        <v>12</v>
      </c>
      <c r="M33" s="101" t="s">
        <v>23</v>
      </c>
      <c r="N33" s="101" t="s">
        <v>260</v>
      </c>
      <c r="O33" s="101" t="s">
        <v>45</v>
      </c>
      <c r="P33" s="130">
        <v>162.64</v>
      </c>
      <c r="R33" s="104" t="s">
        <v>30</v>
      </c>
      <c r="S33" s="104" t="s">
        <v>29</v>
      </c>
      <c r="T33" s="104" t="s">
        <v>268</v>
      </c>
      <c r="U33" s="104" t="s">
        <v>39</v>
      </c>
      <c r="V33" s="113">
        <v>589.5</v>
      </c>
    </row>
    <row r="34">
      <c r="A34" s="149">
        <v>17216.0</v>
      </c>
      <c r="B34" s="145" t="s">
        <v>20</v>
      </c>
      <c r="C34" s="145" t="s">
        <v>21</v>
      </c>
      <c r="D34" s="145" t="s">
        <v>13</v>
      </c>
      <c r="F34" s="92" t="s">
        <v>12</v>
      </c>
      <c r="G34" s="110" t="s">
        <v>23</v>
      </c>
      <c r="H34" s="93" t="s">
        <v>261</v>
      </c>
      <c r="I34" s="92" t="s">
        <v>32</v>
      </c>
      <c r="J34" s="108">
        <v>194.85</v>
      </c>
      <c r="L34" s="101" t="s">
        <v>24</v>
      </c>
      <c r="M34" s="101" t="s">
        <v>20</v>
      </c>
      <c r="N34" s="100" t="s">
        <v>260</v>
      </c>
      <c r="O34" s="101" t="s">
        <v>88</v>
      </c>
      <c r="P34" s="131">
        <v>440.971</v>
      </c>
      <c r="R34" s="104" t="s">
        <v>30</v>
      </c>
      <c r="S34" s="104" t="s">
        <v>29</v>
      </c>
      <c r="T34" s="104" t="s">
        <v>270</v>
      </c>
      <c r="U34" s="104" t="s">
        <v>40</v>
      </c>
      <c r="V34" s="113">
        <v>406.82</v>
      </c>
    </row>
    <row r="35">
      <c r="A35" s="149">
        <v>8800.0</v>
      </c>
      <c r="B35" s="147" t="s">
        <v>23</v>
      </c>
      <c r="C35" s="145" t="s">
        <v>24</v>
      </c>
      <c r="D35" s="145" t="s">
        <v>13</v>
      </c>
      <c r="F35" s="92" t="s">
        <v>21</v>
      </c>
      <c r="G35" s="110" t="s">
        <v>26</v>
      </c>
      <c r="H35" s="93" t="s">
        <v>262</v>
      </c>
      <c r="I35" s="124" t="s">
        <v>34</v>
      </c>
      <c r="J35" s="125">
        <v>396.91</v>
      </c>
      <c r="L35" s="101" t="s">
        <v>12</v>
      </c>
      <c r="M35" s="101" t="s">
        <v>23</v>
      </c>
      <c r="N35" s="100" t="s">
        <v>261</v>
      </c>
      <c r="O35" s="101" t="s">
        <v>32</v>
      </c>
      <c r="P35" s="106">
        <v>194.85</v>
      </c>
      <c r="R35" s="104" t="s">
        <v>30</v>
      </c>
      <c r="S35" s="104" t="s">
        <v>29</v>
      </c>
      <c r="T35" s="104" t="s">
        <v>308</v>
      </c>
      <c r="U35" s="104" t="s">
        <v>46</v>
      </c>
      <c r="V35" s="113">
        <v>71.72</v>
      </c>
    </row>
    <row r="36">
      <c r="A36" s="149">
        <v>6680.0</v>
      </c>
      <c r="B36" s="147" t="s">
        <v>26</v>
      </c>
      <c r="C36" s="145" t="s">
        <v>27</v>
      </c>
      <c r="D36" s="145" t="s">
        <v>13</v>
      </c>
      <c r="F36" s="92" t="s">
        <v>24</v>
      </c>
      <c r="G36" s="92" t="s">
        <v>20</v>
      </c>
      <c r="H36" s="93" t="s">
        <v>263</v>
      </c>
      <c r="I36" s="92" t="s">
        <v>89</v>
      </c>
      <c r="J36" s="94">
        <v>1046.393</v>
      </c>
      <c r="L36" s="101" t="s">
        <v>21</v>
      </c>
      <c r="M36" s="101" t="s">
        <v>26</v>
      </c>
      <c r="N36" s="101" t="s">
        <v>261</v>
      </c>
      <c r="O36" s="117" t="s">
        <v>34</v>
      </c>
      <c r="P36" s="150">
        <v>396.91</v>
      </c>
      <c r="R36" s="104" t="s">
        <v>30</v>
      </c>
      <c r="S36" s="104" t="s">
        <v>29</v>
      </c>
      <c r="T36" s="104" t="s">
        <v>265</v>
      </c>
      <c r="U36" s="104" t="s">
        <v>48</v>
      </c>
      <c r="V36" s="113">
        <v>206.67</v>
      </c>
    </row>
    <row r="37">
      <c r="A37" s="149">
        <v>7491.0</v>
      </c>
      <c r="B37" s="147" t="s">
        <v>29</v>
      </c>
      <c r="C37" s="145" t="s">
        <v>30</v>
      </c>
      <c r="D37" s="145" t="s">
        <v>13</v>
      </c>
      <c r="F37" s="92" t="s">
        <v>30</v>
      </c>
      <c r="G37" s="92" t="s">
        <v>29</v>
      </c>
      <c r="H37" s="93" t="s">
        <v>264</v>
      </c>
      <c r="I37" s="92" t="s">
        <v>39</v>
      </c>
      <c r="J37" s="108">
        <v>589.5</v>
      </c>
      <c r="L37" s="101" t="s">
        <v>21</v>
      </c>
      <c r="M37" s="101" t="s">
        <v>26</v>
      </c>
      <c r="N37" s="100" t="s">
        <v>262</v>
      </c>
      <c r="O37" s="117" t="s">
        <v>34</v>
      </c>
      <c r="P37" s="133">
        <v>396.91</v>
      </c>
      <c r="R37" s="104" t="s">
        <v>260</v>
      </c>
      <c r="S37" s="104" t="s">
        <v>45</v>
      </c>
      <c r="T37" s="104" t="s">
        <v>294</v>
      </c>
      <c r="U37" s="104" t="s">
        <v>22</v>
      </c>
      <c r="V37" s="113">
        <v>62.41</v>
      </c>
    </row>
    <row r="38">
      <c r="A38" s="149">
        <v>16518.0</v>
      </c>
      <c r="B38" s="147" t="s">
        <v>58</v>
      </c>
      <c r="C38" s="145" t="s">
        <v>65</v>
      </c>
      <c r="D38" s="145" t="s">
        <v>66</v>
      </c>
      <c r="F38" s="92" t="s">
        <v>30</v>
      </c>
      <c r="G38" s="110" t="s">
        <v>29</v>
      </c>
      <c r="H38" s="93" t="s">
        <v>265</v>
      </c>
      <c r="I38" s="92" t="s">
        <v>40</v>
      </c>
      <c r="J38" s="108">
        <v>406.82</v>
      </c>
      <c r="L38" s="101" t="s">
        <v>24</v>
      </c>
      <c r="M38" s="101" t="s">
        <v>20</v>
      </c>
      <c r="N38" s="100" t="s">
        <v>263</v>
      </c>
      <c r="O38" s="101" t="s">
        <v>89</v>
      </c>
      <c r="P38" s="102">
        <v>1046.393</v>
      </c>
      <c r="R38" s="104" t="s">
        <v>260</v>
      </c>
      <c r="S38" s="104" t="s">
        <v>45</v>
      </c>
      <c r="T38" s="104" t="s">
        <v>309</v>
      </c>
      <c r="U38" s="104" t="s">
        <v>47</v>
      </c>
      <c r="V38" s="113">
        <v>103.54</v>
      </c>
    </row>
    <row r="39">
      <c r="A39" s="149">
        <v>22620.0</v>
      </c>
      <c r="B39" s="147" t="s">
        <v>59</v>
      </c>
      <c r="C39" s="145" t="s">
        <v>68</v>
      </c>
      <c r="D39" s="145" t="s">
        <v>66</v>
      </c>
      <c r="F39" s="92" t="s">
        <v>24</v>
      </c>
      <c r="G39" s="92" t="s">
        <v>20</v>
      </c>
      <c r="H39" s="93" t="s">
        <v>266</v>
      </c>
      <c r="I39" s="92" t="s">
        <v>90</v>
      </c>
      <c r="J39" s="94">
        <v>924.619</v>
      </c>
      <c r="L39" s="101" t="s">
        <v>30</v>
      </c>
      <c r="M39" s="101" t="s">
        <v>29</v>
      </c>
      <c r="N39" s="100" t="s">
        <v>264</v>
      </c>
      <c r="O39" s="101" t="s">
        <v>39</v>
      </c>
      <c r="P39" s="106">
        <v>589.5</v>
      </c>
      <c r="R39" s="104" t="s">
        <v>260</v>
      </c>
      <c r="S39" s="104" t="s">
        <v>45</v>
      </c>
      <c r="T39" s="104" t="s">
        <v>304</v>
      </c>
      <c r="U39" s="104" t="s">
        <v>49</v>
      </c>
      <c r="V39" s="113">
        <v>80.4</v>
      </c>
    </row>
    <row r="40">
      <c r="A40" s="149">
        <v>2879.0</v>
      </c>
      <c r="B40" s="147" t="s">
        <v>62</v>
      </c>
      <c r="C40" s="145" t="s">
        <v>70</v>
      </c>
      <c r="D40" s="145" t="s">
        <v>66</v>
      </c>
      <c r="F40" s="92" t="s">
        <v>12</v>
      </c>
      <c r="G40" s="110" t="s">
        <v>23</v>
      </c>
      <c r="H40" s="93" t="s">
        <v>267</v>
      </c>
      <c r="I40" s="92" t="s">
        <v>43</v>
      </c>
      <c r="J40" s="108">
        <v>375.38</v>
      </c>
      <c r="L40" s="101" t="s">
        <v>30</v>
      </c>
      <c r="M40" s="101" t="s">
        <v>29</v>
      </c>
      <c r="N40" s="100" t="s">
        <v>265</v>
      </c>
      <c r="O40" s="101" t="s">
        <v>40</v>
      </c>
      <c r="P40" s="106">
        <v>406.82</v>
      </c>
      <c r="R40" s="103" t="s">
        <v>77</v>
      </c>
      <c r="S40" s="135" t="s">
        <v>76</v>
      </c>
      <c r="T40" s="104" t="s">
        <v>74</v>
      </c>
      <c r="U40" s="104" t="s">
        <v>86</v>
      </c>
      <c r="V40" s="136">
        <v>151.0</v>
      </c>
    </row>
    <row r="41">
      <c r="A41" s="149">
        <v>2010.0</v>
      </c>
      <c r="B41" s="147" t="s">
        <v>63</v>
      </c>
      <c r="C41" s="145" t="s">
        <v>72</v>
      </c>
      <c r="D41" s="145" t="s">
        <v>66</v>
      </c>
      <c r="F41" s="92" t="s">
        <v>12</v>
      </c>
      <c r="G41" s="110" t="s">
        <v>23</v>
      </c>
      <c r="H41" s="93" t="s">
        <v>268</v>
      </c>
      <c r="I41" s="110" t="s">
        <v>45</v>
      </c>
      <c r="J41" s="108">
        <v>162.64</v>
      </c>
      <c r="L41" s="101" t="s">
        <v>24</v>
      </c>
      <c r="M41" s="101" t="s">
        <v>20</v>
      </c>
      <c r="N41" s="100" t="s">
        <v>266</v>
      </c>
      <c r="O41" s="101" t="s">
        <v>90</v>
      </c>
      <c r="P41" s="102">
        <v>924.619</v>
      </c>
      <c r="R41" s="103" t="s">
        <v>77</v>
      </c>
      <c r="S41" s="135" t="s">
        <v>76</v>
      </c>
      <c r="T41" s="126" t="s">
        <v>302</v>
      </c>
      <c r="U41" s="135" t="s">
        <v>67</v>
      </c>
      <c r="V41" s="126">
        <v>352.4</v>
      </c>
    </row>
    <row r="42">
      <c r="A42" s="149">
        <v>4632.0</v>
      </c>
      <c r="B42" s="147" t="s">
        <v>69</v>
      </c>
      <c r="C42" s="145" t="s">
        <v>74</v>
      </c>
      <c r="D42" s="145" t="s">
        <v>66</v>
      </c>
      <c r="F42" s="92" t="s">
        <v>30</v>
      </c>
      <c r="G42" s="110" t="s">
        <v>29</v>
      </c>
      <c r="H42" s="93" t="s">
        <v>269</v>
      </c>
      <c r="I42" s="110" t="s">
        <v>48</v>
      </c>
      <c r="J42" s="108">
        <v>206.67</v>
      </c>
      <c r="L42" s="101" t="s">
        <v>12</v>
      </c>
      <c r="M42" s="101" t="s">
        <v>23</v>
      </c>
      <c r="N42" s="100" t="s">
        <v>267</v>
      </c>
      <c r="O42" s="101" t="s">
        <v>43</v>
      </c>
      <c r="P42" s="106">
        <v>375.38</v>
      </c>
      <c r="R42" s="103" t="s">
        <v>81</v>
      </c>
      <c r="S42" s="135" t="s">
        <v>76</v>
      </c>
      <c r="T42" s="126" t="s">
        <v>310</v>
      </c>
      <c r="U42" s="135" t="s">
        <v>82</v>
      </c>
      <c r="V42" s="126">
        <v>321.0</v>
      </c>
    </row>
    <row r="43">
      <c r="A43" s="149">
        <v>8377.0</v>
      </c>
      <c r="B43" s="147" t="s">
        <v>76</v>
      </c>
      <c r="C43" s="145" t="s">
        <v>77</v>
      </c>
      <c r="D43" s="145" t="s">
        <v>66</v>
      </c>
      <c r="F43" s="92" t="s">
        <v>24</v>
      </c>
      <c r="G43" s="92" t="s">
        <v>20</v>
      </c>
      <c r="H43" s="93" t="s">
        <v>270</v>
      </c>
      <c r="I43" s="92" t="s">
        <v>91</v>
      </c>
      <c r="J43" s="94">
        <v>179.485</v>
      </c>
      <c r="L43" s="101" t="s">
        <v>12</v>
      </c>
      <c r="M43" s="101" t="s">
        <v>23</v>
      </c>
      <c r="N43" s="100" t="s">
        <v>268</v>
      </c>
      <c r="O43" s="101" t="s">
        <v>45</v>
      </c>
      <c r="P43" s="106">
        <v>162.64</v>
      </c>
      <c r="R43" s="103" t="s">
        <v>81</v>
      </c>
      <c r="S43" s="104" t="s">
        <v>80</v>
      </c>
      <c r="T43" s="104" t="s">
        <v>72</v>
      </c>
      <c r="U43" s="104" t="s">
        <v>71</v>
      </c>
      <c r="V43" s="105">
        <v>212077.0</v>
      </c>
    </row>
    <row r="44">
      <c r="A44" s="149">
        <v>11295.0</v>
      </c>
      <c r="B44" s="147" t="s">
        <v>78</v>
      </c>
      <c r="C44" s="145" t="s">
        <v>79</v>
      </c>
      <c r="D44" s="145" t="s">
        <v>66</v>
      </c>
      <c r="L44" s="101" t="s">
        <v>30</v>
      </c>
      <c r="M44" s="101" t="s">
        <v>29</v>
      </c>
      <c r="N44" s="100" t="s">
        <v>269</v>
      </c>
      <c r="O44" s="101" t="s">
        <v>48</v>
      </c>
      <c r="P44" s="106">
        <v>206.67</v>
      </c>
      <c r="R44" s="104" t="s">
        <v>21</v>
      </c>
      <c r="S44" s="104" t="s">
        <v>26</v>
      </c>
      <c r="T44" s="104" t="s">
        <v>261</v>
      </c>
      <c r="U44" s="122" t="s">
        <v>34</v>
      </c>
      <c r="V44" s="136">
        <v>396.91</v>
      </c>
    </row>
    <row r="45">
      <c r="A45" s="149">
        <v>4316.0</v>
      </c>
      <c r="B45" s="147" t="s">
        <v>80</v>
      </c>
      <c r="C45" s="145" t="s">
        <v>81</v>
      </c>
      <c r="D45" s="145" t="s">
        <v>66</v>
      </c>
      <c r="L45" s="101" t="s">
        <v>24</v>
      </c>
      <c r="M45" s="101" t="s">
        <v>20</v>
      </c>
      <c r="N45" s="100" t="s">
        <v>270</v>
      </c>
      <c r="O45" s="101" t="s">
        <v>91</v>
      </c>
      <c r="P45" s="102">
        <v>179.485</v>
      </c>
      <c r="R45" s="104" t="s">
        <v>12</v>
      </c>
      <c r="S45" s="104" t="s">
        <v>23</v>
      </c>
      <c r="T45" s="104" t="s">
        <v>260</v>
      </c>
      <c r="U45" s="104" t="s">
        <v>45</v>
      </c>
      <c r="V45" s="113">
        <v>162.64</v>
      </c>
    </row>
    <row r="46">
      <c r="A46" s="149">
        <v>12523.0</v>
      </c>
      <c r="B46" s="145" t="s">
        <v>83</v>
      </c>
      <c r="C46" s="145" t="s">
        <v>84</v>
      </c>
      <c r="D46" s="145" t="s">
        <v>66</v>
      </c>
      <c r="N46" s="14"/>
      <c r="O46" s="14"/>
    </row>
    <row r="47">
      <c r="A47" s="8">
        <v>2724.0</v>
      </c>
      <c r="B47" s="145" t="s">
        <v>25</v>
      </c>
      <c r="C47" s="145" t="s">
        <v>259</v>
      </c>
      <c r="D47" s="145" t="s">
        <v>127</v>
      </c>
      <c r="N47" s="14"/>
      <c r="O47" s="14"/>
    </row>
    <row r="48">
      <c r="A48" s="8">
        <v>5783.0</v>
      </c>
      <c r="B48" s="145" t="s">
        <v>88</v>
      </c>
      <c r="C48" s="145" t="s">
        <v>260</v>
      </c>
      <c r="D48" s="145" t="s">
        <v>127</v>
      </c>
      <c r="N48" s="14"/>
      <c r="O48" s="14"/>
    </row>
    <row r="49">
      <c r="A49" s="8">
        <v>2871.0</v>
      </c>
      <c r="B49" s="145" t="s">
        <v>32</v>
      </c>
      <c r="C49" s="145" t="s">
        <v>261</v>
      </c>
      <c r="D49" s="145" t="s">
        <v>127</v>
      </c>
      <c r="N49" s="14"/>
      <c r="O49" s="14"/>
    </row>
    <row r="50">
      <c r="A50" s="8">
        <v>8017.0</v>
      </c>
      <c r="B50" s="145" t="s">
        <v>34</v>
      </c>
      <c r="C50" s="145" t="s">
        <v>262</v>
      </c>
      <c r="D50" s="145" t="s">
        <v>127</v>
      </c>
      <c r="N50" s="14"/>
      <c r="O50" s="14"/>
    </row>
    <row r="51">
      <c r="A51" s="8">
        <v>8540.0</v>
      </c>
      <c r="B51" s="145" t="s">
        <v>89</v>
      </c>
      <c r="C51" s="145" t="s">
        <v>263</v>
      </c>
      <c r="D51" s="145" t="s">
        <v>127</v>
      </c>
      <c r="N51" s="14"/>
      <c r="O51" s="14"/>
    </row>
    <row r="52">
      <c r="A52" s="8">
        <v>9643.0</v>
      </c>
      <c r="B52" s="145" t="s">
        <v>39</v>
      </c>
      <c r="C52" s="145" t="s">
        <v>264</v>
      </c>
      <c r="D52" s="145" t="s">
        <v>127</v>
      </c>
      <c r="N52" s="14"/>
      <c r="O52" s="14"/>
    </row>
    <row r="53">
      <c r="A53" s="8">
        <v>2902.0</v>
      </c>
      <c r="B53" s="145" t="s">
        <v>40</v>
      </c>
      <c r="C53" s="145" t="s">
        <v>265</v>
      </c>
      <c r="D53" s="145" t="s">
        <v>127</v>
      </c>
      <c r="N53" s="14"/>
      <c r="O53" s="14"/>
    </row>
    <row r="54">
      <c r="A54" s="8">
        <v>2709.0</v>
      </c>
      <c r="B54" s="145" t="s">
        <v>90</v>
      </c>
      <c r="C54" s="145" t="s">
        <v>266</v>
      </c>
      <c r="D54" s="145" t="s">
        <v>127</v>
      </c>
      <c r="N54" s="14"/>
      <c r="O54" s="14"/>
    </row>
    <row r="55">
      <c r="A55" s="8">
        <v>3259.0</v>
      </c>
      <c r="B55" s="145" t="s">
        <v>43</v>
      </c>
      <c r="C55" s="145" t="s">
        <v>267</v>
      </c>
      <c r="D55" s="145" t="s">
        <v>127</v>
      </c>
      <c r="N55" s="14"/>
      <c r="O55" s="14"/>
    </row>
    <row r="56">
      <c r="A56" s="8">
        <v>5309.0</v>
      </c>
      <c r="B56" s="145" t="s">
        <v>45</v>
      </c>
      <c r="C56" s="145" t="s">
        <v>268</v>
      </c>
      <c r="D56" s="145" t="s">
        <v>127</v>
      </c>
      <c r="N56" s="14"/>
      <c r="O56" s="14"/>
    </row>
    <row r="57">
      <c r="A57" s="8">
        <v>2016.0</v>
      </c>
      <c r="B57" s="145" t="s">
        <v>48</v>
      </c>
      <c r="C57" s="145" t="s">
        <v>269</v>
      </c>
      <c r="D57" s="145" t="s">
        <v>127</v>
      </c>
      <c r="N57" s="14"/>
      <c r="O57" s="14"/>
    </row>
    <row r="58">
      <c r="A58" s="8">
        <v>3519.0</v>
      </c>
      <c r="B58" s="145" t="s">
        <v>91</v>
      </c>
      <c r="C58" s="145" t="s">
        <v>270</v>
      </c>
      <c r="D58" s="145" t="s">
        <v>127</v>
      </c>
      <c r="N58" s="14"/>
      <c r="O58" s="14"/>
    </row>
    <row r="59">
      <c r="A59" s="18">
        <f>SUM(A2:A58)</f>
        <v>327943</v>
      </c>
      <c r="G59" s="18"/>
    </row>
    <row r="60">
      <c r="G60" s="18"/>
    </row>
    <row r="61">
      <c r="G61" s="18"/>
    </row>
    <row r="62">
      <c r="A62" s="8">
        <f>ROUNDUP(4623,0)</f>
        <v>4623</v>
      </c>
      <c r="B62" s="145" t="s">
        <v>315</v>
      </c>
      <c r="C62" s="145" t="s">
        <v>283</v>
      </c>
      <c r="D62" s="145" t="s">
        <v>128</v>
      </c>
      <c r="F62" s="15" t="s">
        <v>253</v>
      </c>
      <c r="G62" s="20" t="s">
        <v>94</v>
      </c>
      <c r="H62" s="15" t="s">
        <v>0</v>
      </c>
      <c r="I62" s="15" t="s">
        <v>316</v>
      </c>
    </row>
    <row r="63">
      <c r="A63" s="8">
        <f>ROUNDUP(1729,0)</f>
        <v>1729</v>
      </c>
      <c r="B63" s="145" t="s">
        <v>19</v>
      </c>
      <c r="C63" s="145" t="s">
        <v>285</v>
      </c>
      <c r="D63" s="145" t="s">
        <v>128</v>
      </c>
      <c r="F63" s="17" t="s">
        <v>283</v>
      </c>
      <c r="G63" s="8" t="s">
        <v>57</v>
      </c>
      <c r="H63" s="17" t="s">
        <v>317</v>
      </c>
      <c r="I63" s="17">
        <v>500.0</v>
      </c>
      <c r="K63" s="17" t="s">
        <v>283</v>
      </c>
      <c r="L63" s="17" t="s">
        <v>57</v>
      </c>
      <c r="M63" s="17" t="s">
        <v>317</v>
      </c>
    </row>
    <row r="64">
      <c r="A64" s="8">
        <v>12496.0</v>
      </c>
      <c r="B64" s="145" t="s">
        <v>60</v>
      </c>
      <c r="C64" s="145" t="s">
        <v>281</v>
      </c>
      <c r="D64" s="145" t="s">
        <v>128</v>
      </c>
      <c r="F64" s="17" t="s">
        <v>285</v>
      </c>
      <c r="G64" s="8" t="s">
        <v>19</v>
      </c>
      <c r="H64" s="17" t="s">
        <v>317</v>
      </c>
      <c r="I64" s="17">
        <v>800.0</v>
      </c>
      <c r="K64" s="17" t="s">
        <v>285</v>
      </c>
      <c r="L64" s="17" t="s">
        <v>19</v>
      </c>
      <c r="M64" s="17" t="s">
        <v>317</v>
      </c>
    </row>
    <row r="65">
      <c r="A65" s="17">
        <v>967.0</v>
      </c>
      <c r="B65" s="145" t="s">
        <v>22</v>
      </c>
      <c r="C65" s="145" t="s">
        <v>288</v>
      </c>
      <c r="D65" s="145" t="s">
        <v>128</v>
      </c>
      <c r="F65" s="17" t="s">
        <v>281</v>
      </c>
      <c r="G65" s="8" t="s">
        <v>60</v>
      </c>
      <c r="H65" s="17" t="s">
        <v>317</v>
      </c>
      <c r="I65" s="17">
        <v>400.0</v>
      </c>
      <c r="K65" s="17" t="s">
        <v>281</v>
      </c>
      <c r="L65" s="17" t="s">
        <v>60</v>
      </c>
      <c r="M65" s="17" t="s">
        <v>317</v>
      </c>
    </row>
    <row r="66">
      <c r="A66" s="8">
        <v>7766.0</v>
      </c>
      <c r="B66" s="145" t="s">
        <v>61</v>
      </c>
      <c r="C66" s="145" t="s">
        <v>284</v>
      </c>
      <c r="D66" s="145" t="s">
        <v>128</v>
      </c>
      <c r="F66" s="17" t="s">
        <v>288</v>
      </c>
      <c r="G66" s="8" t="s">
        <v>22</v>
      </c>
      <c r="H66" s="17" t="s">
        <v>317</v>
      </c>
      <c r="I66" s="17">
        <v>500.0</v>
      </c>
      <c r="K66" s="17" t="s">
        <v>288</v>
      </c>
      <c r="L66" s="17" t="s">
        <v>22</v>
      </c>
      <c r="M66" s="17" t="s">
        <v>317</v>
      </c>
    </row>
    <row r="67">
      <c r="A67" s="8">
        <v>1924.0</v>
      </c>
      <c r="B67" s="145" t="s">
        <v>28</v>
      </c>
      <c r="C67" s="145" t="s">
        <v>292</v>
      </c>
      <c r="D67" s="145" t="s">
        <v>128</v>
      </c>
      <c r="F67" s="17" t="s">
        <v>284</v>
      </c>
      <c r="G67" s="8" t="s">
        <v>61</v>
      </c>
      <c r="H67" s="17" t="s">
        <v>317</v>
      </c>
      <c r="I67" s="17">
        <v>800.0</v>
      </c>
      <c r="K67" s="17" t="s">
        <v>284</v>
      </c>
      <c r="L67" s="17" t="s">
        <v>61</v>
      </c>
      <c r="M67" s="17" t="s">
        <v>317</v>
      </c>
    </row>
    <row r="68">
      <c r="A68" s="8">
        <v>2269.0</v>
      </c>
      <c r="B68" s="145" t="s">
        <v>31</v>
      </c>
      <c r="C68" s="145" t="s">
        <v>294</v>
      </c>
      <c r="D68" s="145" t="s">
        <v>128</v>
      </c>
      <c r="F68" s="17" t="s">
        <v>292</v>
      </c>
      <c r="G68" s="8" t="s">
        <v>28</v>
      </c>
      <c r="H68" s="17" t="s">
        <v>317</v>
      </c>
      <c r="I68" s="17">
        <v>500.0</v>
      </c>
      <c r="K68" s="17" t="s">
        <v>292</v>
      </c>
      <c r="L68" s="17" t="s">
        <v>28</v>
      </c>
      <c r="M68" s="17" t="s">
        <v>317</v>
      </c>
    </row>
    <row r="69">
      <c r="A69" s="8">
        <v>1330.0</v>
      </c>
      <c r="B69" s="145" t="s">
        <v>64</v>
      </c>
      <c r="C69" s="145" t="s">
        <v>287</v>
      </c>
      <c r="D69" s="145" t="s">
        <v>128</v>
      </c>
      <c r="F69" s="17" t="s">
        <v>294</v>
      </c>
      <c r="G69" s="8" t="s">
        <v>31</v>
      </c>
      <c r="H69" s="17" t="s">
        <v>317</v>
      </c>
      <c r="I69" s="17">
        <v>800.0</v>
      </c>
      <c r="K69" s="17" t="s">
        <v>294</v>
      </c>
      <c r="L69" s="17" t="s">
        <v>31</v>
      </c>
      <c r="M69" s="17" t="s">
        <v>317</v>
      </c>
    </row>
    <row r="70">
      <c r="A70" s="8">
        <v>2549.0</v>
      </c>
      <c r="B70" s="145" t="s">
        <v>33</v>
      </c>
      <c r="C70" s="145" t="s">
        <v>298</v>
      </c>
      <c r="D70" s="145" t="s">
        <v>128</v>
      </c>
      <c r="F70" s="17" t="s">
        <v>287</v>
      </c>
      <c r="G70" s="8" t="s">
        <v>318</v>
      </c>
      <c r="H70" s="17" t="s">
        <v>317</v>
      </c>
      <c r="I70" s="17">
        <v>200.0</v>
      </c>
      <c r="K70" s="17" t="s">
        <v>287</v>
      </c>
      <c r="L70" s="17" t="s">
        <v>318</v>
      </c>
      <c r="M70" s="17" t="s">
        <v>317</v>
      </c>
    </row>
    <row r="71">
      <c r="A71" s="8">
        <v>11369.0</v>
      </c>
      <c r="B71" s="145" t="s">
        <v>35</v>
      </c>
      <c r="C71" s="145" t="s">
        <v>299</v>
      </c>
      <c r="D71" s="145" t="s">
        <v>128</v>
      </c>
      <c r="F71" s="17" t="s">
        <v>298</v>
      </c>
      <c r="G71" s="8" t="s">
        <v>33</v>
      </c>
      <c r="H71" s="17" t="s">
        <v>317</v>
      </c>
      <c r="I71" s="17">
        <v>400.0</v>
      </c>
      <c r="K71" s="17" t="s">
        <v>298</v>
      </c>
      <c r="L71" s="17" t="s">
        <v>33</v>
      </c>
      <c r="M71" s="17" t="s">
        <v>317</v>
      </c>
    </row>
    <row r="72">
      <c r="A72" s="8">
        <v>2561.0</v>
      </c>
      <c r="B72" s="145" t="s">
        <v>36</v>
      </c>
      <c r="C72" s="145" t="s">
        <v>300</v>
      </c>
      <c r="D72" s="145" t="s">
        <v>128</v>
      </c>
      <c r="F72" s="17" t="s">
        <v>299</v>
      </c>
      <c r="G72" s="8" t="s">
        <v>35</v>
      </c>
      <c r="H72" s="17" t="s">
        <v>317</v>
      </c>
      <c r="I72" s="17">
        <v>400.0</v>
      </c>
      <c r="K72" s="17" t="s">
        <v>299</v>
      </c>
      <c r="L72" s="17" t="s">
        <v>35</v>
      </c>
      <c r="M72" s="17" t="s">
        <v>317</v>
      </c>
    </row>
    <row r="73">
      <c r="A73" s="8">
        <f>3105+208</f>
        <v>3313</v>
      </c>
      <c r="B73" s="145" t="s">
        <v>67</v>
      </c>
      <c r="C73" s="145" t="s">
        <v>302</v>
      </c>
      <c r="D73" s="145" t="s">
        <v>128</v>
      </c>
      <c r="F73" s="17" t="s">
        <v>300</v>
      </c>
      <c r="G73" s="8" t="s">
        <v>36</v>
      </c>
      <c r="H73" s="17" t="s">
        <v>317</v>
      </c>
      <c r="I73" s="17">
        <v>400.0</v>
      </c>
      <c r="K73" s="17" t="s">
        <v>300</v>
      </c>
      <c r="L73" s="17" t="s">
        <v>36</v>
      </c>
      <c r="M73" s="17" t="s">
        <v>317</v>
      </c>
    </row>
    <row r="74">
      <c r="A74" s="8">
        <v>3579.0</v>
      </c>
      <c r="B74" s="145" t="s">
        <v>37</v>
      </c>
      <c r="C74" s="145" t="s">
        <v>291</v>
      </c>
      <c r="D74" s="145" t="s">
        <v>128</v>
      </c>
      <c r="F74" s="17" t="s">
        <v>302</v>
      </c>
      <c r="G74" s="8" t="s">
        <v>67</v>
      </c>
      <c r="H74" s="17" t="s">
        <v>317</v>
      </c>
      <c r="I74" s="17">
        <v>400.0</v>
      </c>
      <c r="K74" s="17" t="s">
        <v>302</v>
      </c>
      <c r="L74" s="17" t="s">
        <v>67</v>
      </c>
      <c r="M74" s="17" t="s">
        <v>317</v>
      </c>
    </row>
    <row r="75">
      <c r="A75" s="8">
        <v>3692.0</v>
      </c>
      <c r="B75" s="145" t="s">
        <v>38</v>
      </c>
      <c r="C75" s="145" t="s">
        <v>303</v>
      </c>
      <c r="D75" s="145" t="s">
        <v>128</v>
      </c>
      <c r="F75" s="17" t="s">
        <v>291</v>
      </c>
      <c r="G75" s="8" t="s">
        <v>37</v>
      </c>
      <c r="H75" s="17" t="s">
        <v>317</v>
      </c>
      <c r="I75" s="17">
        <v>700.0</v>
      </c>
      <c r="K75" s="17" t="s">
        <v>291</v>
      </c>
      <c r="L75" s="17" t="s">
        <v>37</v>
      </c>
      <c r="M75" s="17" t="s">
        <v>317</v>
      </c>
    </row>
    <row r="76">
      <c r="A76" s="8">
        <v>4425.0</v>
      </c>
      <c r="B76" s="145" t="s">
        <v>41</v>
      </c>
      <c r="C76" s="145" t="s">
        <v>301</v>
      </c>
      <c r="D76" s="145" t="s">
        <v>128</v>
      </c>
      <c r="F76" s="17" t="s">
        <v>303</v>
      </c>
      <c r="G76" s="8" t="s">
        <v>38</v>
      </c>
      <c r="H76" s="17" t="s">
        <v>317</v>
      </c>
      <c r="I76" s="17">
        <v>800.0</v>
      </c>
      <c r="K76" s="17" t="s">
        <v>303</v>
      </c>
      <c r="L76" s="17" t="s">
        <v>38</v>
      </c>
      <c r="M76" s="17" t="s">
        <v>317</v>
      </c>
    </row>
    <row r="77">
      <c r="A77" s="8">
        <v>2672.0</v>
      </c>
      <c r="B77" s="145" t="s">
        <v>42</v>
      </c>
      <c r="C77" s="145" t="s">
        <v>289</v>
      </c>
      <c r="D77" s="145" t="s">
        <v>128</v>
      </c>
      <c r="F77" s="17" t="s">
        <v>301</v>
      </c>
      <c r="G77" s="8" t="s">
        <v>41</v>
      </c>
      <c r="H77" s="17" t="s">
        <v>317</v>
      </c>
      <c r="I77" s="17">
        <v>500.0</v>
      </c>
      <c r="K77" s="17" t="s">
        <v>301</v>
      </c>
      <c r="L77" s="17" t="s">
        <v>41</v>
      </c>
      <c r="M77" s="17" t="s">
        <v>317</v>
      </c>
    </row>
    <row r="78">
      <c r="A78" s="8">
        <v>6285.0</v>
      </c>
      <c r="B78" s="145" t="s">
        <v>71</v>
      </c>
      <c r="C78" s="145" t="s">
        <v>305</v>
      </c>
      <c r="D78" s="145" t="s">
        <v>128</v>
      </c>
      <c r="F78" s="17" t="s">
        <v>289</v>
      </c>
      <c r="G78" s="8" t="s">
        <v>42</v>
      </c>
      <c r="H78" s="17" t="s">
        <v>317</v>
      </c>
      <c r="I78" s="17">
        <v>350.0</v>
      </c>
      <c r="K78" s="17" t="s">
        <v>289</v>
      </c>
      <c r="L78" s="17" t="s">
        <v>42</v>
      </c>
      <c r="M78" s="17" t="s">
        <v>317</v>
      </c>
    </row>
    <row r="79">
      <c r="A79" s="8">
        <v>1826.0</v>
      </c>
      <c r="B79" s="145" t="s">
        <v>44</v>
      </c>
      <c r="C79" s="145" t="s">
        <v>295</v>
      </c>
      <c r="D79" s="145" t="s">
        <v>128</v>
      </c>
      <c r="F79" s="17" t="s">
        <v>305</v>
      </c>
      <c r="G79" s="8" t="s">
        <v>71</v>
      </c>
      <c r="H79" s="17" t="s">
        <v>317</v>
      </c>
      <c r="I79" s="17">
        <v>400.0</v>
      </c>
      <c r="K79" s="17" t="s">
        <v>305</v>
      </c>
      <c r="L79" s="17" t="s">
        <v>71</v>
      </c>
      <c r="M79" s="17" t="s">
        <v>317</v>
      </c>
    </row>
    <row r="80">
      <c r="A80" s="8">
        <v>1223.0</v>
      </c>
      <c r="B80" s="145" t="s">
        <v>46</v>
      </c>
      <c r="C80" s="145" t="s">
        <v>307</v>
      </c>
      <c r="D80" s="145" t="s">
        <v>128</v>
      </c>
      <c r="F80" s="17" t="s">
        <v>295</v>
      </c>
      <c r="G80" s="8" t="s">
        <v>44</v>
      </c>
      <c r="H80" s="17" t="s">
        <v>317</v>
      </c>
      <c r="I80" s="17">
        <v>400.0</v>
      </c>
      <c r="K80" s="17" t="s">
        <v>295</v>
      </c>
      <c r="L80" s="17" t="s">
        <v>44</v>
      </c>
      <c r="M80" s="17" t="s">
        <v>317</v>
      </c>
    </row>
    <row r="81">
      <c r="A81" s="8">
        <v>4675.0</v>
      </c>
      <c r="B81" s="145" t="s">
        <v>73</v>
      </c>
      <c r="C81" s="145" t="s">
        <v>276</v>
      </c>
      <c r="D81" s="145" t="s">
        <v>128</v>
      </c>
      <c r="F81" s="17" t="s">
        <v>307</v>
      </c>
      <c r="G81" s="8" t="s">
        <v>46</v>
      </c>
      <c r="H81" s="17" t="s">
        <v>317</v>
      </c>
      <c r="I81" s="17">
        <v>500.0</v>
      </c>
      <c r="K81" s="17" t="s">
        <v>307</v>
      </c>
      <c r="L81" s="17" t="s">
        <v>46</v>
      </c>
      <c r="M81" s="17" t="s">
        <v>317</v>
      </c>
    </row>
    <row r="82">
      <c r="A82" s="8">
        <v>3422.0</v>
      </c>
      <c r="B82" s="145" t="s">
        <v>47</v>
      </c>
      <c r="C82" s="145" t="s">
        <v>308</v>
      </c>
      <c r="D82" s="145" t="s">
        <v>128</v>
      </c>
      <c r="F82" s="17" t="s">
        <v>276</v>
      </c>
      <c r="G82" s="8" t="s">
        <v>73</v>
      </c>
      <c r="H82" s="17" t="s">
        <v>317</v>
      </c>
      <c r="I82" s="17">
        <v>600.0</v>
      </c>
      <c r="K82" s="17" t="s">
        <v>276</v>
      </c>
      <c r="L82" s="17" t="s">
        <v>73</v>
      </c>
      <c r="M82" s="17" t="s">
        <v>317</v>
      </c>
    </row>
    <row r="83">
      <c r="A83" s="8">
        <v>4287.0</v>
      </c>
      <c r="B83" s="145" t="s">
        <v>75</v>
      </c>
      <c r="C83" s="145" t="s">
        <v>286</v>
      </c>
      <c r="D83" s="145" t="s">
        <v>128</v>
      </c>
      <c r="F83" s="17" t="s">
        <v>308</v>
      </c>
      <c r="G83" s="8" t="s">
        <v>47</v>
      </c>
      <c r="H83" s="17" t="s">
        <v>317</v>
      </c>
      <c r="I83" s="17">
        <v>500.0</v>
      </c>
      <c r="K83" s="17" t="s">
        <v>308</v>
      </c>
      <c r="L83" s="17" t="s">
        <v>47</v>
      </c>
      <c r="M83" s="17" t="s">
        <v>317</v>
      </c>
    </row>
    <row r="84">
      <c r="A84" s="8">
        <v>3554.0</v>
      </c>
      <c r="B84" s="145" t="s">
        <v>49</v>
      </c>
      <c r="C84" s="145" t="s">
        <v>309</v>
      </c>
      <c r="D84" s="145" t="s">
        <v>128</v>
      </c>
      <c r="F84" s="17" t="s">
        <v>286</v>
      </c>
      <c r="G84" s="8" t="s">
        <v>75</v>
      </c>
      <c r="H84" s="17" t="s">
        <v>317</v>
      </c>
      <c r="I84" s="17">
        <v>800.0</v>
      </c>
      <c r="K84" s="17" t="s">
        <v>286</v>
      </c>
      <c r="L84" s="17" t="s">
        <v>75</v>
      </c>
      <c r="M84" s="17" t="s">
        <v>317</v>
      </c>
    </row>
    <row r="85">
      <c r="A85" s="8">
        <v>3964.0</v>
      </c>
      <c r="B85" s="147" t="s">
        <v>86</v>
      </c>
      <c r="C85" s="145" t="s">
        <v>311</v>
      </c>
      <c r="D85" s="145" t="s">
        <v>128</v>
      </c>
      <c r="F85" s="17" t="s">
        <v>309</v>
      </c>
      <c r="G85" s="8" t="s">
        <v>49</v>
      </c>
      <c r="H85" s="17" t="s">
        <v>317</v>
      </c>
      <c r="I85" s="17">
        <v>500.0</v>
      </c>
      <c r="K85" s="17" t="s">
        <v>309</v>
      </c>
      <c r="L85" s="17" t="s">
        <v>49</v>
      </c>
      <c r="M85" s="17" t="s">
        <v>317</v>
      </c>
    </row>
    <row r="86">
      <c r="A86" s="8">
        <v>1169.0</v>
      </c>
      <c r="B86" s="145" t="s">
        <v>50</v>
      </c>
      <c r="C86" s="145" t="s">
        <v>304</v>
      </c>
      <c r="D86" s="145" t="s">
        <v>128</v>
      </c>
      <c r="F86" s="17" t="s">
        <v>311</v>
      </c>
      <c r="G86" s="8" t="s">
        <v>86</v>
      </c>
      <c r="H86" s="17" t="s">
        <v>317</v>
      </c>
      <c r="I86" s="17">
        <v>1000.0</v>
      </c>
      <c r="K86" s="17" t="s">
        <v>311</v>
      </c>
      <c r="L86" s="17" t="s">
        <v>86</v>
      </c>
      <c r="M86" s="17" t="s">
        <v>317</v>
      </c>
    </row>
    <row r="87">
      <c r="A87" s="8">
        <f>2842+3</f>
        <v>2845</v>
      </c>
      <c r="B87" s="147" t="s">
        <v>82</v>
      </c>
      <c r="C87" s="145" t="s">
        <v>310</v>
      </c>
      <c r="D87" s="145" t="s">
        <v>128</v>
      </c>
      <c r="F87" s="17" t="s">
        <v>304</v>
      </c>
      <c r="G87" s="8" t="s">
        <v>50</v>
      </c>
      <c r="H87" s="17" t="s">
        <v>317</v>
      </c>
      <c r="I87" s="17">
        <v>400.0</v>
      </c>
      <c r="K87" s="17" t="s">
        <v>304</v>
      </c>
      <c r="L87" s="17" t="s">
        <v>50</v>
      </c>
      <c r="M87" s="17" t="s">
        <v>317</v>
      </c>
    </row>
    <row r="88">
      <c r="A88" s="8">
        <v>1978.0</v>
      </c>
      <c r="B88" s="145" t="s">
        <v>51</v>
      </c>
      <c r="C88" s="145" t="s">
        <v>306</v>
      </c>
      <c r="D88" s="145" t="s">
        <v>128</v>
      </c>
      <c r="F88" s="17" t="s">
        <v>310</v>
      </c>
      <c r="G88" s="8" t="s">
        <v>82</v>
      </c>
      <c r="H88" s="17" t="s">
        <v>317</v>
      </c>
      <c r="I88" s="17">
        <v>400.0</v>
      </c>
      <c r="K88" s="17" t="s">
        <v>310</v>
      </c>
      <c r="L88" s="17" t="s">
        <v>82</v>
      </c>
      <c r="M88" s="17" t="s">
        <v>317</v>
      </c>
    </row>
    <row r="89">
      <c r="A89" s="148">
        <v>2088.0</v>
      </c>
      <c r="B89" s="147" t="s">
        <v>52</v>
      </c>
      <c r="C89" s="145" t="s">
        <v>312</v>
      </c>
      <c r="D89" s="145" t="s">
        <v>128</v>
      </c>
      <c r="F89" s="17" t="s">
        <v>306</v>
      </c>
      <c r="G89" s="8" t="s">
        <v>51</v>
      </c>
      <c r="H89" s="17" t="s">
        <v>317</v>
      </c>
      <c r="I89" s="17">
        <v>400.0</v>
      </c>
      <c r="K89" s="17" t="s">
        <v>306</v>
      </c>
      <c r="L89" s="17" t="s">
        <v>51</v>
      </c>
      <c r="M89" s="17" t="s">
        <v>317</v>
      </c>
    </row>
    <row r="90">
      <c r="A90" s="8">
        <v>3785.0</v>
      </c>
      <c r="B90" s="145" t="s">
        <v>53</v>
      </c>
      <c r="C90" s="145" t="s">
        <v>313</v>
      </c>
      <c r="D90" s="145" t="s">
        <v>128</v>
      </c>
      <c r="F90" s="17" t="s">
        <v>312</v>
      </c>
      <c r="G90" s="8" t="s">
        <v>52</v>
      </c>
      <c r="H90" s="17" t="s">
        <v>317</v>
      </c>
      <c r="I90" s="17">
        <v>800.0</v>
      </c>
      <c r="K90" s="17" t="s">
        <v>312</v>
      </c>
      <c r="L90" s="17" t="s">
        <v>52</v>
      </c>
      <c r="M90" s="17" t="s">
        <v>317</v>
      </c>
    </row>
    <row r="91">
      <c r="A91" s="8">
        <v>2181.0</v>
      </c>
      <c r="B91" s="147" t="s">
        <v>54</v>
      </c>
      <c r="C91" s="145" t="s">
        <v>293</v>
      </c>
      <c r="D91" s="145" t="s">
        <v>128</v>
      </c>
      <c r="F91" s="17" t="s">
        <v>313</v>
      </c>
      <c r="G91" s="8" t="s">
        <v>53</v>
      </c>
      <c r="H91" s="17" t="s">
        <v>317</v>
      </c>
      <c r="I91" s="17">
        <v>500.0</v>
      </c>
      <c r="K91" s="17" t="s">
        <v>313</v>
      </c>
      <c r="L91" s="17" t="s">
        <v>53</v>
      </c>
      <c r="M91" s="17" t="s">
        <v>317</v>
      </c>
    </row>
    <row r="92">
      <c r="A92" s="8">
        <v>2724.0</v>
      </c>
      <c r="B92" s="145" t="s">
        <v>25</v>
      </c>
      <c r="C92" s="145" t="s">
        <v>259</v>
      </c>
      <c r="D92" s="145" t="s">
        <v>127</v>
      </c>
      <c r="F92" s="17" t="s">
        <v>293</v>
      </c>
      <c r="G92" s="8" t="s">
        <v>54</v>
      </c>
      <c r="H92" s="17" t="s">
        <v>317</v>
      </c>
      <c r="I92" s="17">
        <v>700.0</v>
      </c>
      <c r="K92" s="17" t="s">
        <v>293</v>
      </c>
      <c r="L92" s="17" t="s">
        <v>54</v>
      </c>
      <c r="M92" s="17" t="s">
        <v>317</v>
      </c>
    </row>
    <row r="93">
      <c r="A93" s="8">
        <v>5783.0</v>
      </c>
      <c r="B93" s="145" t="s">
        <v>88</v>
      </c>
      <c r="C93" s="145" t="s">
        <v>260</v>
      </c>
      <c r="D93" s="145" t="s">
        <v>127</v>
      </c>
      <c r="F93" s="17" t="s">
        <v>259</v>
      </c>
      <c r="G93" s="8" t="s">
        <v>25</v>
      </c>
      <c r="H93" s="17" t="s">
        <v>127</v>
      </c>
      <c r="I93" s="17">
        <v>200.0</v>
      </c>
      <c r="K93" s="17" t="s">
        <v>259</v>
      </c>
      <c r="L93" s="17" t="s">
        <v>25</v>
      </c>
      <c r="M93" s="17" t="s">
        <v>127</v>
      </c>
    </row>
    <row r="94">
      <c r="A94" s="8">
        <v>2871.0</v>
      </c>
      <c r="B94" s="145" t="s">
        <v>32</v>
      </c>
      <c r="C94" s="145" t="s">
        <v>261</v>
      </c>
      <c r="D94" s="145" t="s">
        <v>127</v>
      </c>
      <c r="F94" s="17" t="s">
        <v>260</v>
      </c>
      <c r="G94" s="8" t="s">
        <v>88</v>
      </c>
      <c r="H94" s="17" t="s">
        <v>127</v>
      </c>
      <c r="I94" s="17">
        <v>400.0</v>
      </c>
      <c r="K94" s="17" t="s">
        <v>260</v>
      </c>
      <c r="L94" s="17" t="s">
        <v>88</v>
      </c>
      <c r="M94" s="17" t="s">
        <v>127</v>
      </c>
    </row>
    <row r="95">
      <c r="A95" s="8">
        <v>8017.0</v>
      </c>
      <c r="B95" s="145" t="s">
        <v>34</v>
      </c>
      <c r="C95" s="145" t="s">
        <v>262</v>
      </c>
      <c r="D95" s="145" t="s">
        <v>127</v>
      </c>
      <c r="F95" s="17" t="s">
        <v>261</v>
      </c>
      <c r="G95" s="8" t="s">
        <v>32</v>
      </c>
      <c r="H95" s="17" t="s">
        <v>127</v>
      </c>
      <c r="I95" s="17">
        <v>600.0</v>
      </c>
      <c r="K95" s="17" t="s">
        <v>261</v>
      </c>
      <c r="L95" s="17" t="s">
        <v>32</v>
      </c>
      <c r="M95" s="17" t="s">
        <v>127</v>
      </c>
    </row>
    <row r="96">
      <c r="A96" s="8">
        <v>8540.0</v>
      </c>
      <c r="B96" s="145" t="s">
        <v>89</v>
      </c>
      <c r="C96" s="145" t="s">
        <v>263</v>
      </c>
      <c r="D96" s="145" t="s">
        <v>127</v>
      </c>
      <c r="F96" s="17" t="s">
        <v>262</v>
      </c>
      <c r="G96" s="8" t="s">
        <v>34</v>
      </c>
      <c r="H96" s="17" t="s">
        <v>127</v>
      </c>
      <c r="I96" s="17">
        <v>1120.0</v>
      </c>
      <c r="K96" s="17" t="s">
        <v>262</v>
      </c>
      <c r="L96" s="17" t="s">
        <v>34</v>
      </c>
      <c r="M96" s="17" t="s">
        <v>127</v>
      </c>
    </row>
    <row r="97">
      <c r="A97" s="8">
        <v>9643.0</v>
      </c>
      <c r="B97" s="145" t="s">
        <v>39</v>
      </c>
      <c r="C97" s="145" t="s">
        <v>264</v>
      </c>
      <c r="D97" s="145" t="s">
        <v>127</v>
      </c>
      <c r="F97" s="17" t="s">
        <v>263</v>
      </c>
      <c r="G97" s="8" t="s">
        <v>89</v>
      </c>
      <c r="H97" s="17" t="s">
        <v>127</v>
      </c>
      <c r="I97" s="17">
        <v>1240.0</v>
      </c>
      <c r="K97" s="17" t="s">
        <v>263</v>
      </c>
      <c r="L97" s="17" t="s">
        <v>89</v>
      </c>
      <c r="M97" s="17" t="s">
        <v>127</v>
      </c>
    </row>
    <row r="98">
      <c r="A98" s="8">
        <v>2902.0</v>
      </c>
      <c r="B98" s="145" t="s">
        <v>40</v>
      </c>
      <c r="C98" s="145" t="s">
        <v>265</v>
      </c>
      <c r="D98" s="145" t="s">
        <v>127</v>
      </c>
      <c r="F98" s="17" t="s">
        <v>264</v>
      </c>
      <c r="G98" s="8" t="s">
        <v>39</v>
      </c>
      <c r="H98" s="17" t="s">
        <v>127</v>
      </c>
      <c r="I98" s="17">
        <v>320.0</v>
      </c>
      <c r="K98" s="17" t="s">
        <v>264</v>
      </c>
      <c r="L98" s="17" t="s">
        <v>39</v>
      </c>
      <c r="M98" s="17" t="s">
        <v>127</v>
      </c>
    </row>
    <row r="99">
      <c r="A99" s="8">
        <v>2709.0</v>
      </c>
      <c r="B99" s="145" t="s">
        <v>90</v>
      </c>
      <c r="C99" s="145" t="s">
        <v>266</v>
      </c>
      <c r="D99" s="145" t="s">
        <v>127</v>
      </c>
      <c r="F99" s="17" t="s">
        <v>265</v>
      </c>
      <c r="G99" s="8" t="s">
        <v>40</v>
      </c>
      <c r="H99" s="17" t="s">
        <v>127</v>
      </c>
      <c r="I99" s="17">
        <v>400.0</v>
      </c>
      <c r="K99" s="17" t="s">
        <v>265</v>
      </c>
      <c r="L99" s="17" t="s">
        <v>40</v>
      </c>
      <c r="M99" s="17" t="s">
        <v>127</v>
      </c>
    </row>
    <row r="100">
      <c r="A100" s="8">
        <v>3259.0</v>
      </c>
      <c r="B100" s="145" t="s">
        <v>43</v>
      </c>
      <c r="C100" s="145" t="s">
        <v>267</v>
      </c>
      <c r="D100" s="145" t="s">
        <v>127</v>
      </c>
      <c r="F100" s="17" t="s">
        <v>266</v>
      </c>
      <c r="G100" s="8" t="s">
        <v>90</v>
      </c>
      <c r="H100" s="17" t="s">
        <v>127</v>
      </c>
      <c r="I100" s="17">
        <v>960.0</v>
      </c>
      <c r="K100" s="17" t="s">
        <v>266</v>
      </c>
      <c r="L100" s="17" t="s">
        <v>90</v>
      </c>
      <c r="M100" s="17" t="s">
        <v>127</v>
      </c>
    </row>
    <row r="101">
      <c r="A101" s="8">
        <v>5309.0</v>
      </c>
      <c r="B101" s="145" t="s">
        <v>45</v>
      </c>
      <c r="C101" s="145" t="s">
        <v>268</v>
      </c>
      <c r="D101" s="145" t="s">
        <v>127</v>
      </c>
      <c r="F101" s="17" t="s">
        <v>267</v>
      </c>
      <c r="G101" s="8" t="s">
        <v>43</v>
      </c>
      <c r="H101" s="17" t="s">
        <v>127</v>
      </c>
      <c r="I101" s="17">
        <v>1640.0</v>
      </c>
      <c r="K101" s="17" t="s">
        <v>267</v>
      </c>
      <c r="L101" s="17" t="s">
        <v>43</v>
      </c>
      <c r="M101" s="17" t="s">
        <v>127</v>
      </c>
    </row>
    <row r="102">
      <c r="A102" s="8">
        <v>2016.0</v>
      </c>
      <c r="B102" s="145" t="s">
        <v>48</v>
      </c>
      <c r="C102" s="145" t="s">
        <v>269</v>
      </c>
      <c r="D102" s="145" t="s">
        <v>127</v>
      </c>
      <c r="F102" s="17" t="s">
        <v>268</v>
      </c>
      <c r="G102" s="8" t="s">
        <v>45</v>
      </c>
      <c r="H102" s="17" t="s">
        <v>127</v>
      </c>
      <c r="I102" s="17">
        <v>1480.0</v>
      </c>
      <c r="K102" s="17" t="s">
        <v>268</v>
      </c>
      <c r="L102" s="17" t="s">
        <v>45</v>
      </c>
      <c r="M102" s="17" t="s">
        <v>127</v>
      </c>
    </row>
    <row r="103">
      <c r="A103" s="8">
        <v>3519.0</v>
      </c>
      <c r="B103" s="145" t="s">
        <v>91</v>
      </c>
      <c r="C103" s="145" t="s">
        <v>270</v>
      </c>
      <c r="D103" s="145" t="s">
        <v>127</v>
      </c>
      <c r="F103" s="17" t="s">
        <v>269</v>
      </c>
      <c r="G103" s="8" t="s">
        <v>48</v>
      </c>
      <c r="H103" s="17" t="s">
        <v>127</v>
      </c>
      <c r="I103" s="17">
        <v>800.0</v>
      </c>
      <c r="K103" s="17" t="s">
        <v>269</v>
      </c>
      <c r="L103" s="17" t="s">
        <v>48</v>
      </c>
      <c r="M103" s="17" t="s">
        <v>127</v>
      </c>
    </row>
    <row r="104">
      <c r="F104" s="17" t="s">
        <v>270</v>
      </c>
      <c r="G104" s="8" t="s">
        <v>91</v>
      </c>
      <c r="H104" s="17" t="s">
        <v>127</v>
      </c>
      <c r="I104" s="17">
        <v>320.0</v>
      </c>
      <c r="K104" s="17" t="s">
        <v>270</v>
      </c>
      <c r="L104" s="17" t="s">
        <v>91</v>
      </c>
      <c r="M104" s="17" t="s">
        <v>127</v>
      </c>
    </row>
    <row r="105">
      <c r="G105" s="18"/>
    </row>
    <row r="106">
      <c r="G106" s="18"/>
    </row>
    <row r="107">
      <c r="G107" s="18"/>
    </row>
    <row r="108">
      <c r="G108" s="18"/>
    </row>
    <row r="109">
      <c r="G109" s="18"/>
    </row>
    <row r="110">
      <c r="G110" s="18"/>
    </row>
    <row r="111">
      <c r="G111" s="18"/>
    </row>
    <row r="112">
      <c r="G112" s="18"/>
    </row>
    <row r="113">
      <c r="G113" s="18"/>
    </row>
    <row r="114">
      <c r="G114" s="18"/>
    </row>
    <row r="115">
      <c r="G115" s="18"/>
    </row>
    <row r="116">
      <c r="G116" s="18"/>
    </row>
    <row r="117">
      <c r="G117" s="18"/>
    </row>
    <row r="118">
      <c r="G118" s="18"/>
    </row>
    <row r="119">
      <c r="G119" s="18"/>
    </row>
    <row r="120">
      <c r="G120" s="18"/>
    </row>
    <row r="121">
      <c r="G121" s="18"/>
    </row>
    <row r="122">
      <c r="G122" s="18"/>
    </row>
    <row r="123">
      <c r="G123" s="18"/>
    </row>
    <row r="124">
      <c r="G124" s="18"/>
    </row>
    <row r="125">
      <c r="G125" s="18"/>
    </row>
    <row r="126">
      <c r="G126" s="18"/>
    </row>
    <row r="127">
      <c r="G127" s="18"/>
    </row>
    <row r="128">
      <c r="G128" s="18"/>
    </row>
    <row r="129">
      <c r="G129" s="18"/>
    </row>
    <row r="130">
      <c r="G130" s="18"/>
    </row>
    <row r="131">
      <c r="G131" s="18"/>
    </row>
    <row r="132">
      <c r="G132" s="18"/>
    </row>
    <row r="133">
      <c r="G133" s="18"/>
    </row>
    <row r="134">
      <c r="G134" s="18"/>
    </row>
    <row r="135">
      <c r="G135" s="18"/>
    </row>
    <row r="136">
      <c r="G136" s="18"/>
    </row>
    <row r="137">
      <c r="G137" s="18"/>
    </row>
    <row r="138">
      <c r="G138" s="18"/>
    </row>
    <row r="139">
      <c r="G139" s="18"/>
    </row>
    <row r="140">
      <c r="G140" s="18"/>
    </row>
    <row r="141">
      <c r="G141" s="18"/>
    </row>
    <row r="142">
      <c r="G142" s="18"/>
    </row>
    <row r="143">
      <c r="G143" s="18"/>
    </row>
    <row r="144">
      <c r="G144" s="18"/>
    </row>
    <row r="145">
      <c r="G145" s="18"/>
    </row>
    <row r="146">
      <c r="G146" s="18"/>
    </row>
    <row r="147">
      <c r="G147" s="18"/>
    </row>
    <row r="148">
      <c r="G148" s="18"/>
    </row>
    <row r="149">
      <c r="G149" s="18"/>
    </row>
    <row r="150">
      <c r="G150" s="18"/>
    </row>
    <row r="151">
      <c r="G151" s="18"/>
    </row>
    <row r="152">
      <c r="G152" s="18"/>
    </row>
    <row r="153">
      <c r="G153" s="18"/>
    </row>
    <row r="154">
      <c r="G154" s="18"/>
    </row>
    <row r="155">
      <c r="G155" s="18"/>
    </row>
    <row r="156">
      <c r="G156" s="18"/>
    </row>
    <row r="157">
      <c r="G157" s="18"/>
    </row>
    <row r="158">
      <c r="G158" s="18"/>
    </row>
    <row r="159">
      <c r="G159" s="18"/>
    </row>
    <row r="160">
      <c r="G160" s="18"/>
    </row>
    <row r="161">
      <c r="G161" s="18"/>
    </row>
    <row r="162">
      <c r="G162" s="18"/>
    </row>
    <row r="163">
      <c r="G163" s="18"/>
    </row>
    <row r="164">
      <c r="G164" s="18"/>
    </row>
    <row r="165">
      <c r="G165" s="18"/>
    </row>
    <row r="166">
      <c r="G166" s="18"/>
    </row>
    <row r="167">
      <c r="G167" s="18"/>
    </row>
    <row r="168">
      <c r="G168" s="18"/>
    </row>
    <row r="169">
      <c r="G169" s="18"/>
    </row>
    <row r="170">
      <c r="G170" s="18"/>
    </row>
    <row r="171">
      <c r="G171" s="18"/>
    </row>
    <row r="172">
      <c r="G172" s="18"/>
    </row>
    <row r="173">
      <c r="G173" s="18"/>
    </row>
    <row r="174">
      <c r="G174" s="18"/>
    </row>
    <row r="175">
      <c r="G175" s="18"/>
    </row>
    <row r="176">
      <c r="G176" s="18"/>
    </row>
    <row r="177">
      <c r="G177" s="18"/>
    </row>
    <row r="178">
      <c r="G178" s="18"/>
    </row>
    <row r="179">
      <c r="G179" s="18"/>
    </row>
    <row r="180">
      <c r="G180" s="18"/>
    </row>
    <row r="181">
      <c r="G181" s="18"/>
    </row>
    <row r="182">
      <c r="G182" s="18"/>
    </row>
    <row r="183">
      <c r="G183" s="18"/>
    </row>
    <row r="184">
      <c r="G184" s="18"/>
    </row>
    <row r="185">
      <c r="G185" s="18"/>
    </row>
    <row r="186">
      <c r="G186" s="18"/>
    </row>
    <row r="187">
      <c r="G187" s="18"/>
    </row>
    <row r="188">
      <c r="G188" s="18"/>
    </row>
    <row r="189">
      <c r="G189" s="18"/>
    </row>
    <row r="190">
      <c r="G190" s="18"/>
    </row>
    <row r="191">
      <c r="G191" s="18"/>
    </row>
    <row r="192">
      <c r="G192" s="18"/>
    </row>
    <row r="193">
      <c r="G193" s="18"/>
    </row>
    <row r="194">
      <c r="G194" s="18"/>
    </row>
    <row r="195">
      <c r="G195" s="18"/>
    </row>
    <row r="196">
      <c r="G196" s="18"/>
    </row>
    <row r="197">
      <c r="G197" s="18"/>
    </row>
    <row r="198">
      <c r="G198" s="18"/>
    </row>
    <row r="199">
      <c r="G199" s="18"/>
    </row>
    <row r="200">
      <c r="G200" s="18"/>
    </row>
    <row r="201">
      <c r="G201" s="18"/>
    </row>
    <row r="202">
      <c r="G202" s="18"/>
    </row>
    <row r="203">
      <c r="G203" s="18"/>
    </row>
    <row r="204">
      <c r="G204" s="18"/>
    </row>
    <row r="205">
      <c r="G205" s="18"/>
    </row>
    <row r="206">
      <c r="G206" s="18"/>
    </row>
    <row r="207">
      <c r="G207" s="18"/>
    </row>
    <row r="208">
      <c r="G208" s="18"/>
    </row>
    <row r="209">
      <c r="G209" s="18"/>
    </row>
    <row r="210">
      <c r="G210" s="18"/>
    </row>
    <row r="211">
      <c r="G211" s="18"/>
    </row>
    <row r="212">
      <c r="G212" s="18"/>
    </row>
    <row r="213">
      <c r="G213" s="18"/>
    </row>
    <row r="214">
      <c r="G214" s="18"/>
    </row>
    <row r="215">
      <c r="G215" s="18"/>
    </row>
    <row r="216">
      <c r="G216" s="18"/>
    </row>
    <row r="217">
      <c r="G217" s="18"/>
    </row>
    <row r="218">
      <c r="G218" s="18"/>
    </row>
    <row r="219">
      <c r="G219" s="18"/>
    </row>
    <row r="220">
      <c r="G220" s="18"/>
    </row>
    <row r="221">
      <c r="G221" s="18"/>
    </row>
    <row r="222">
      <c r="G222" s="18"/>
    </row>
    <row r="223">
      <c r="G223" s="18"/>
    </row>
    <row r="224">
      <c r="G224" s="18"/>
    </row>
    <row r="225">
      <c r="G225" s="18"/>
    </row>
    <row r="226">
      <c r="G226" s="18"/>
    </row>
    <row r="227">
      <c r="G227" s="18"/>
    </row>
    <row r="228">
      <c r="G228" s="18"/>
    </row>
    <row r="229">
      <c r="G229" s="18"/>
    </row>
    <row r="230">
      <c r="G230" s="18"/>
    </row>
    <row r="231">
      <c r="G231" s="18"/>
    </row>
    <row r="232">
      <c r="G232" s="18"/>
    </row>
    <row r="233">
      <c r="G233" s="18"/>
    </row>
    <row r="234">
      <c r="G234" s="18"/>
    </row>
    <row r="235">
      <c r="G235" s="18"/>
    </row>
    <row r="236">
      <c r="G236" s="18"/>
    </row>
    <row r="237">
      <c r="G237" s="18"/>
    </row>
    <row r="238">
      <c r="G238" s="18"/>
    </row>
    <row r="239">
      <c r="G239" s="18"/>
    </row>
    <row r="240">
      <c r="G240" s="18"/>
    </row>
    <row r="241">
      <c r="G241" s="18"/>
    </row>
    <row r="242">
      <c r="G242" s="18"/>
    </row>
    <row r="243">
      <c r="G243" s="18"/>
    </row>
    <row r="244">
      <c r="G244" s="18"/>
    </row>
    <row r="245">
      <c r="G245" s="18"/>
    </row>
    <row r="246">
      <c r="G246" s="18"/>
    </row>
    <row r="247">
      <c r="G247" s="18"/>
    </row>
    <row r="248">
      <c r="G248" s="18"/>
    </row>
    <row r="249">
      <c r="G249" s="18"/>
    </row>
    <row r="250">
      <c r="G250" s="18"/>
    </row>
    <row r="251">
      <c r="G251" s="18"/>
    </row>
    <row r="252">
      <c r="G252" s="18"/>
    </row>
    <row r="253">
      <c r="G253" s="18"/>
    </row>
    <row r="254">
      <c r="G254" s="18"/>
    </row>
    <row r="255">
      <c r="G255" s="18"/>
    </row>
    <row r="256">
      <c r="G256" s="18"/>
    </row>
    <row r="257">
      <c r="G257" s="18"/>
    </row>
    <row r="258">
      <c r="G258" s="18"/>
    </row>
    <row r="259">
      <c r="G259" s="18"/>
    </row>
    <row r="260">
      <c r="G260" s="18"/>
    </row>
    <row r="261">
      <c r="G261" s="18"/>
    </row>
    <row r="262">
      <c r="G262" s="18"/>
    </row>
    <row r="263">
      <c r="G263" s="18"/>
    </row>
    <row r="264">
      <c r="G264" s="18"/>
    </row>
    <row r="265">
      <c r="G265" s="18"/>
    </row>
    <row r="266">
      <c r="G266" s="18"/>
    </row>
    <row r="267">
      <c r="G267" s="18"/>
    </row>
    <row r="268">
      <c r="G268" s="18"/>
    </row>
    <row r="269">
      <c r="G269" s="18"/>
    </row>
    <row r="270">
      <c r="G270" s="18"/>
    </row>
    <row r="271">
      <c r="G271" s="18"/>
    </row>
    <row r="272">
      <c r="G272" s="18"/>
    </row>
    <row r="273">
      <c r="G273" s="18"/>
    </row>
    <row r="274">
      <c r="G274" s="18"/>
    </row>
    <row r="275">
      <c r="G275" s="18"/>
    </row>
    <row r="276">
      <c r="G276" s="18"/>
    </row>
    <row r="277">
      <c r="G277" s="18"/>
    </row>
    <row r="278">
      <c r="G278" s="18"/>
    </row>
    <row r="279">
      <c r="G279" s="18"/>
    </row>
    <row r="280">
      <c r="G280" s="18"/>
    </row>
    <row r="281">
      <c r="G281" s="18"/>
    </row>
    <row r="282">
      <c r="G282" s="18"/>
    </row>
    <row r="283">
      <c r="G283" s="18"/>
    </row>
    <row r="284">
      <c r="G284" s="18"/>
    </row>
    <row r="285">
      <c r="G285" s="18"/>
    </row>
    <row r="286">
      <c r="G286" s="18"/>
    </row>
    <row r="287">
      <c r="G287" s="18"/>
    </row>
    <row r="288">
      <c r="G288" s="18"/>
    </row>
    <row r="289">
      <c r="G289" s="18"/>
    </row>
    <row r="290">
      <c r="G290" s="18"/>
    </row>
    <row r="291">
      <c r="G291" s="18"/>
    </row>
    <row r="292">
      <c r="G292" s="18"/>
    </row>
    <row r="293">
      <c r="G293" s="18"/>
    </row>
    <row r="294">
      <c r="G294" s="18"/>
    </row>
    <row r="295">
      <c r="G295" s="18"/>
    </row>
    <row r="296">
      <c r="G296" s="18"/>
    </row>
    <row r="297">
      <c r="G297" s="18"/>
    </row>
    <row r="298">
      <c r="G298" s="18"/>
    </row>
    <row r="299">
      <c r="G299" s="18"/>
    </row>
    <row r="300">
      <c r="G300" s="18"/>
    </row>
    <row r="301">
      <c r="G301" s="18"/>
    </row>
    <row r="302">
      <c r="G302" s="18"/>
    </row>
    <row r="303">
      <c r="G303" s="18"/>
    </row>
    <row r="304">
      <c r="G304" s="18"/>
    </row>
    <row r="305">
      <c r="G305" s="18"/>
    </row>
    <row r="306">
      <c r="G306" s="18"/>
    </row>
    <row r="307">
      <c r="G307" s="18"/>
    </row>
    <row r="308">
      <c r="G308" s="18"/>
    </row>
    <row r="309">
      <c r="G309" s="18"/>
    </row>
    <row r="310">
      <c r="G310" s="18"/>
    </row>
    <row r="311">
      <c r="G311" s="18"/>
    </row>
    <row r="312">
      <c r="G312" s="18"/>
    </row>
    <row r="313">
      <c r="G313" s="18"/>
    </row>
    <row r="314">
      <c r="G314" s="18"/>
    </row>
    <row r="315">
      <c r="G315" s="18"/>
    </row>
    <row r="316">
      <c r="G316" s="18"/>
    </row>
    <row r="317">
      <c r="G317" s="18"/>
    </row>
    <row r="318">
      <c r="G318" s="18"/>
    </row>
    <row r="319">
      <c r="G319" s="18"/>
    </row>
    <row r="320">
      <c r="G320" s="18"/>
    </row>
    <row r="321">
      <c r="G321" s="18"/>
    </row>
    <row r="322">
      <c r="G322" s="18"/>
    </row>
    <row r="323">
      <c r="G323" s="18"/>
    </row>
    <row r="324">
      <c r="G324" s="18"/>
    </row>
    <row r="325">
      <c r="G325" s="18"/>
    </row>
    <row r="326">
      <c r="G326" s="18"/>
    </row>
    <row r="327">
      <c r="G327" s="18"/>
    </row>
    <row r="328">
      <c r="G328" s="18"/>
    </row>
    <row r="329">
      <c r="G329" s="18"/>
    </row>
    <row r="330">
      <c r="G330" s="18"/>
    </row>
    <row r="331">
      <c r="G331" s="18"/>
    </row>
    <row r="332">
      <c r="G332" s="18"/>
    </row>
    <row r="333">
      <c r="G333" s="18"/>
    </row>
    <row r="334">
      <c r="G334" s="18"/>
    </row>
    <row r="335">
      <c r="G335" s="18"/>
    </row>
    <row r="336">
      <c r="G336" s="18"/>
    </row>
    <row r="337">
      <c r="G337" s="18"/>
    </row>
    <row r="338">
      <c r="G338" s="18"/>
    </row>
    <row r="339">
      <c r="G339" s="18"/>
    </row>
    <row r="340">
      <c r="G340" s="18"/>
    </row>
    <row r="341">
      <c r="G341" s="18"/>
    </row>
    <row r="342">
      <c r="G342" s="18"/>
    </row>
    <row r="343">
      <c r="G343" s="18"/>
    </row>
    <row r="344">
      <c r="G344" s="18"/>
    </row>
    <row r="345">
      <c r="G345" s="18"/>
    </row>
    <row r="346">
      <c r="G346" s="18"/>
    </row>
    <row r="347">
      <c r="G347" s="18"/>
    </row>
    <row r="348">
      <c r="G348" s="18"/>
    </row>
    <row r="349">
      <c r="G349" s="18"/>
    </row>
    <row r="350">
      <c r="G350" s="18"/>
    </row>
    <row r="351">
      <c r="G351" s="18"/>
    </row>
    <row r="352">
      <c r="G352" s="18"/>
    </row>
    <row r="353">
      <c r="G353" s="18"/>
    </row>
    <row r="354">
      <c r="G354" s="18"/>
    </row>
    <row r="355">
      <c r="G355" s="18"/>
    </row>
    <row r="356">
      <c r="G356" s="18"/>
    </row>
    <row r="357">
      <c r="G357" s="18"/>
    </row>
    <row r="358">
      <c r="G358" s="18"/>
    </row>
    <row r="359">
      <c r="G359" s="18"/>
    </row>
    <row r="360">
      <c r="G360" s="18"/>
    </row>
    <row r="361">
      <c r="G361" s="18"/>
    </row>
    <row r="362">
      <c r="G362" s="18"/>
    </row>
    <row r="363">
      <c r="G363" s="18"/>
    </row>
    <row r="364">
      <c r="G364" s="18"/>
    </row>
    <row r="365">
      <c r="G365" s="18"/>
    </row>
    <row r="366">
      <c r="G366" s="18"/>
    </row>
    <row r="367">
      <c r="G367" s="18"/>
    </row>
    <row r="368">
      <c r="G368" s="18"/>
    </row>
    <row r="369">
      <c r="G369" s="18"/>
    </row>
    <row r="370">
      <c r="G370" s="18"/>
    </row>
    <row r="371">
      <c r="G371" s="18"/>
    </row>
    <row r="372">
      <c r="G372" s="18"/>
    </row>
    <row r="373">
      <c r="G373" s="18"/>
    </row>
    <row r="374">
      <c r="G374" s="18"/>
    </row>
    <row r="375">
      <c r="G375" s="18"/>
    </row>
    <row r="376">
      <c r="G376" s="18"/>
    </row>
    <row r="377">
      <c r="G377" s="18"/>
    </row>
    <row r="378">
      <c r="G378" s="18"/>
    </row>
    <row r="379">
      <c r="G379" s="18"/>
    </row>
    <row r="380">
      <c r="G380" s="18"/>
    </row>
    <row r="381">
      <c r="G381" s="18"/>
    </row>
    <row r="382">
      <c r="G382" s="18"/>
    </row>
    <row r="383">
      <c r="G383" s="18"/>
    </row>
    <row r="384">
      <c r="G384" s="18"/>
    </row>
    <row r="385">
      <c r="G385" s="18"/>
    </row>
    <row r="386">
      <c r="G386" s="18"/>
    </row>
    <row r="387">
      <c r="G387" s="18"/>
    </row>
    <row r="388">
      <c r="G388" s="18"/>
    </row>
    <row r="389">
      <c r="G389" s="18"/>
    </row>
    <row r="390">
      <c r="G390" s="18"/>
    </row>
    <row r="391">
      <c r="G391" s="18"/>
    </row>
    <row r="392">
      <c r="G392" s="18"/>
    </row>
    <row r="393">
      <c r="G393" s="18"/>
    </row>
    <row r="394">
      <c r="G394" s="18"/>
    </row>
    <row r="395">
      <c r="G395" s="18"/>
    </row>
    <row r="396">
      <c r="G396" s="18"/>
    </row>
    <row r="397">
      <c r="G397" s="18"/>
    </row>
    <row r="398">
      <c r="G398" s="18"/>
    </row>
    <row r="399">
      <c r="G399" s="18"/>
    </row>
    <row r="400">
      <c r="G400" s="18"/>
    </row>
    <row r="401">
      <c r="G401" s="18"/>
    </row>
    <row r="402">
      <c r="G402" s="18"/>
    </row>
    <row r="403">
      <c r="G403" s="18"/>
    </row>
    <row r="404">
      <c r="G404" s="18"/>
    </row>
    <row r="405">
      <c r="G405" s="18"/>
    </row>
    <row r="406">
      <c r="G406" s="18"/>
    </row>
    <row r="407">
      <c r="G407" s="18"/>
    </row>
    <row r="408">
      <c r="G408" s="18"/>
    </row>
    <row r="409">
      <c r="G409" s="18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</sheetData>
  <conditionalFormatting sqref="A4:A58 A64:A103">
    <cfRule type="expression" dxfId="4" priority="1">
      <formula>ROUNDUP</formula>
    </cfRule>
  </conditionalFormatting>
  <dataValidations>
    <dataValidation type="custom" allowBlank="1" showDropDown="1" sqref="J2:J43 P2:P45">
      <formula1>AND(ISNUMBER(J2),(NOT(OR(NOT(ISERROR(DATEVALUE(J2))), AND(ISNUMBER(J2), LEFT(CELL("format", J2))="D")))))</formula1>
    </dataValidation>
  </dataValidations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319</v>
      </c>
      <c r="B1" s="4" t="s">
        <v>320</v>
      </c>
      <c r="C1" s="4" t="s">
        <v>321</v>
      </c>
      <c r="D1" s="4" t="s">
        <v>322</v>
      </c>
      <c r="E1" s="4" t="s">
        <v>323</v>
      </c>
      <c r="F1" s="4" t="s">
        <v>324</v>
      </c>
      <c r="G1" s="4" t="s">
        <v>325</v>
      </c>
      <c r="H1" s="4" t="s">
        <v>326</v>
      </c>
      <c r="L1" s="1" t="s">
        <v>0</v>
      </c>
      <c r="M1" s="39" t="s">
        <v>1</v>
      </c>
      <c r="N1" s="2" t="s">
        <v>102</v>
      </c>
      <c r="O1" s="2" t="s">
        <v>103</v>
      </c>
      <c r="P1" s="40" t="s">
        <v>104</v>
      </c>
    </row>
    <row r="2">
      <c r="A2" s="149">
        <v>28496.0</v>
      </c>
      <c r="B2" s="147" t="s">
        <v>11</v>
      </c>
      <c r="C2" s="145" t="s">
        <v>12</v>
      </c>
      <c r="D2" s="145" t="s">
        <v>13</v>
      </c>
      <c r="E2" s="4">
        <v>18.0</v>
      </c>
      <c r="F2" s="151">
        <f t="shared" ref="F2:F16" si="1">ROUNDUP(A2/E2,0)</f>
        <v>1584</v>
      </c>
      <c r="G2" s="17">
        <v>5280.0</v>
      </c>
      <c r="H2" s="152" t="b">
        <f t="shared" ref="H2:H16" si="2">IF(G2&gt;F2,TRUE)</f>
        <v>1</v>
      </c>
      <c r="L2" s="43" t="s">
        <v>9</v>
      </c>
      <c r="M2" s="44">
        <v>280.0</v>
      </c>
      <c r="N2" s="6"/>
      <c r="O2" s="6">
        <v>4.0</v>
      </c>
      <c r="P2" s="45">
        <f>6800/4</f>
        <v>1700</v>
      </c>
    </row>
    <row r="3">
      <c r="A3" s="149">
        <v>6252.0</v>
      </c>
      <c r="B3" s="147" t="s">
        <v>17</v>
      </c>
      <c r="C3" s="145" t="s">
        <v>18</v>
      </c>
      <c r="D3" s="145" t="s">
        <v>13</v>
      </c>
      <c r="E3" s="4">
        <v>7.0</v>
      </c>
      <c r="F3" s="151">
        <f t="shared" si="1"/>
        <v>894</v>
      </c>
      <c r="G3" s="17">
        <v>1640.0</v>
      </c>
      <c r="H3" s="152" t="b">
        <f t="shared" si="2"/>
        <v>1</v>
      </c>
      <c r="L3" s="43" t="s">
        <v>109</v>
      </c>
      <c r="M3" s="44">
        <v>200.0</v>
      </c>
      <c r="N3" s="6"/>
      <c r="O3" s="6">
        <v>7.0</v>
      </c>
      <c r="P3" s="45">
        <f>6800/7</f>
        <v>971.4285714</v>
      </c>
    </row>
    <row r="4">
      <c r="A4" s="149">
        <v>17216.0</v>
      </c>
      <c r="B4" s="145" t="s">
        <v>20</v>
      </c>
      <c r="C4" s="145" t="s">
        <v>21</v>
      </c>
      <c r="D4" s="145" t="s">
        <v>13</v>
      </c>
      <c r="E4" s="4">
        <v>24.0</v>
      </c>
      <c r="F4" s="151">
        <f t="shared" si="1"/>
        <v>718</v>
      </c>
      <c r="G4" s="17">
        <v>1600.0</v>
      </c>
      <c r="H4" s="152" t="b">
        <f t="shared" si="2"/>
        <v>1</v>
      </c>
      <c r="L4" s="43" t="s">
        <v>110</v>
      </c>
      <c r="M4" s="44">
        <v>120.0</v>
      </c>
      <c r="N4" s="6"/>
      <c r="O4" s="6">
        <v>8.0</v>
      </c>
      <c r="P4" s="45">
        <f>10000/4</f>
        <v>2500</v>
      </c>
    </row>
    <row r="5">
      <c r="A5" s="149">
        <v>8800.0</v>
      </c>
      <c r="B5" s="147" t="s">
        <v>23</v>
      </c>
      <c r="C5" s="145" t="s">
        <v>24</v>
      </c>
      <c r="D5" s="145" t="s">
        <v>13</v>
      </c>
      <c r="E5" s="4">
        <v>27.0</v>
      </c>
      <c r="F5" s="151">
        <f t="shared" si="1"/>
        <v>326</v>
      </c>
      <c r="G5" s="17">
        <v>2920.0</v>
      </c>
      <c r="H5" s="152" t="b">
        <f t="shared" si="2"/>
        <v>1</v>
      </c>
      <c r="L5" s="43" t="s">
        <v>111</v>
      </c>
      <c r="M5" s="44">
        <v>80.0</v>
      </c>
      <c r="N5" s="6"/>
      <c r="O5" s="6">
        <v>10.0</v>
      </c>
      <c r="P5" s="45">
        <f>10000/10</f>
        <v>1000</v>
      </c>
    </row>
    <row r="6">
      <c r="A6" s="149">
        <v>6680.0</v>
      </c>
      <c r="B6" s="147" t="s">
        <v>26</v>
      </c>
      <c r="C6" s="145" t="s">
        <v>27</v>
      </c>
      <c r="D6" s="145" t="s">
        <v>13</v>
      </c>
      <c r="E6" s="4">
        <v>11.0</v>
      </c>
      <c r="F6" s="151">
        <f t="shared" si="1"/>
        <v>608</v>
      </c>
      <c r="G6" s="17">
        <v>3400.0</v>
      </c>
      <c r="H6" s="152" t="b">
        <f t="shared" si="2"/>
        <v>1</v>
      </c>
      <c r="L6" s="43" t="s">
        <v>116</v>
      </c>
      <c r="M6" s="44">
        <v>5.0</v>
      </c>
      <c r="N6" s="6"/>
      <c r="O6" s="6">
        <v>15.0</v>
      </c>
      <c r="P6" s="45">
        <f>10000/15</f>
        <v>666.6666667</v>
      </c>
    </row>
    <row r="7">
      <c r="A7" s="149">
        <v>7491.0</v>
      </c>
      <c r="B7" s="147" t="s">
        <v>29</v>
      </c>
      <c r="C7" s="145" t="s">
        <v>30</v>
      </c>
      <c r="D7" s="145" t="s">
        <v>13</v>
      </c>
      <c r="E7" s="4">
        <v>10.0</v>
      </c>
      <c r="F7" s="151">
        <f t="shared" si="1"/>
        <v>750</v>
      </c>
      <c r="G7" s="17">
        <v>1560.0</v>
      </c>
      <c r="H7" s="152" t="b">
        <f t="shared" si="2"/>
        <v>1</v>
      </c>
    </row>
    <row r="8">
      <c r="A8" s="149">
        <v>16518.0</v>
      </c>
      <c r="B8" s="147" t="s">
        <v>58</v>
      </c>
      <c r="C8" s="145" t="s">
        <v>65</v>
      </c>
      <c r="D8" s="145" t="s">
        <v>66</v>
      </c>
      <c r="E8" s="4">
        <v>9.0</v>
      </c>
      <c r="F8" s="151">
        <f t="shared" si="1"/>
        <v>1836</v>
      </c>
      <c r="G8" s="17">
        <v>2880.0</v>
      </c>
      <c r="H8" s="152" t="b">
        <f t="shared" si="2"/>
        <v>1</v>
      </c>
    </row>
    <row r="9">
      <c r="A9" s="149">
        <v>22620.0</v>
      </c>
      <c r="B9" s="147" t="s">
        <v>59</v>
      </c>
      <c r="C9" s="145" t="s">
        <v>68</v>
      </c>
      <c r="D9" s="145" t="s">
        <v>66</v>
      </c>
      <c r="E9" s="4">
        <v>20.0</v>
      </c>
      <c r="F9" s="151">
        <f t="shared" si="1"/>
        <v>1131</v>
      </c>
      <c r="G9" s="17">
        <v>5280.0</v>
      </c>
      <c r="H9" s="152" t="b">
        <f t="shared" si="2"/>
        <v>1</v>
      </c>
      <c r="L9" s="1" t="s">
        <v>0</v>
      </c>
      <c r="M9" s="2" t="s">
        <v>1</v>
      </c>
    </row>
    <row r="10">
      <c r="A10" s="149">
        <v>2879.0</v>
      </c>
      <c r="B10" s="147" t="s">
        <v>62</v>
      </c>
      <c r="C10" s="145" t="s">
        <v>70</v>
      </c>
      <c r="D10" s="145" t="s">
        <v>66</v>
      </c>
      <c r="E10" s="4">
        <v>3.0</v>
      </c>
      <c r="F10" s="151">
        <f t="shared" si="1"/>
        <v>960</v>
      </c>
      <c r="G10" s="17">
        <v>520.0</v>
      </c>
      <c r="H10" s="152" t="b">
        <f t="shared" si="2"/>
        <v>0</v>
      </c>
      <c r="L10" s="5" t="s">
        <v>5</v>
      </c>
      <c r="M10" s="6">
        <v>2360.0</v>
      </c>
    </row>
    <row r="11">
      <c r="A11" s="149">
        <v>2010.0</v>
      </c>
      <c r="B11" s="147" t="s">
        <v>63</v>
      </c>
      <c r="C11" s="145" t="s">
        <v>72</v>
      </c>
      <c r="D11" s="145" t="s">
        <v>66</v>
      </c>
      <c r="E11" s="4">
        <v>3.0</v>
      </c>
      <c r="F11" s="151">
        <f t="shared" si="1"/>
        <v>670</v>
      </c>
      <c r="G11" s="17">
        <v>5280.0</v>
      </c>
      <c r="H11" s="152" t="b">
        <f t="shared" si="2"/>
        <v>1</v>
      </c>
      <c r="L11" s="5" t="s">
        <v>6</v>
      </c>
      <c r="M11" s="6">
        <v>1600.0</v>
      </c>
    </row>
    <row r="12">
      <c r="A12" s="149">
        <v>4632.0</v>
      </c>
      <c r="B12" s="147" t="s">
        <v>69</v>
      </c>
      <c r="C12" s="145" t="s">
        <v>74</v>
      </c>
      <c r="D12" s="145" t="s">
        <v>66</v>
      </c>
      <c r="E12" s="4">
        <v>4.0</v>
      </c>
      <c r="F12" s="151">
        <f t="shared" si="1"/>
        <v>1158</v>
      </c>
      <c r="G12" s="17">
        <v>1040.0</v>
      </c>
      <c r="H12" s="152" t="b">
        <f t="shared" si="2"/>
        <v>0</v>
      </c>
      <c r="L12" s="5" t="s">
        <v>7</v>
      </c>
      <c r="M12" s="6">
        <v>1160.0</v>
      </c>
    </row>
    <row r="13">
      <c r="A13" s="149">
        <v>8377.0</v>
      </c>
      <c r="B13" s="147" t="s">
        <v>76</v>
      </c>
      <c r="C13" s="145" t="s">
        <v>77</v>
      </c>
      <c r="D13" s="145" t="s">
        <v>66</v>
      </c>
      <c r="E13" s="4">
        <v>8.0</v>
      </c>
      <c r="F13" s="151">
        <f t="shared" si="1"/>
        <v>1048</v>
      </c>
      <c r="G13" s="17">
        <v>5280.0</v>
      </c>
      <c r="H13" s="152" t="b">
        <f t="shared" si="2"/>
        <v>1</v>
      </c>
      <c r="L13" s="5" t="s">
        <v>8</v>
      </c>
      <c r="M13" s="6">
        <v>880.0</v>
      </c>
    </row>
    <row r="14">
      <c r="A14" s="149">
        <v>11295.0</v>
      </c>
      <c r="B14" s="147" t="s">
        <v>78</v>
      </c>
      <c r="C14" s="145" t="s">
        <v>79</v>
      </c>
      <c r="D14" s="145" t="s">
        <v>66</v>
      </c>
      <c r="E14" s="4">
        <v>10.0</v>
      </c>
      <c r="F14" s="151">
        <f t="shared" si="1"/>
        <v>1130</v>
      </c>
      <c r="G14" s="17">
        <v>1800.0</v>
      </c>
      <c r="H14" s="152" t="b">
        <f t="shared" si="2"/>
        <v>1</v>
      </c>
      <c r="L14" s="5" t="s">
        <v>9</v>
      </c>
      <c r="M14" s="6">
        <v>280.0</v>
      </c>
    </row>
    <row r="15">
      <c r="A15" s="149">
        <v>4316.0</v>
      </c>
      <c r="B15" s="147" t="s">
        <v>80</v>
      </c>
      <c r="C15" s="145" t="s">
        <v>81</v>
      </c>
      <c r="D15" s="145" t="s">
        <v>66</v>
      </c>
      <c r="E15" s="4">
        <v>5.0</v>
      </c>
      <c r="F15" s="151">
        <f t="shared" si="1"/>
        <v>864</v>
      </c>
      <c r="G15" s="17">
        <v>1000.0</v>
      </c>
      <c r="H15" s="152" t="b">
        <f t="shared" si="2"/>
        <v>1</v>
      </c>
    </row>
    <row r="16">
      <c r="A16" s="149">
        <v>12523.0</v>
      </c>
      <c r="B16" s="145" t="s">
        <v>83</v>
      </c>
      <c r="C16" s="145" t="s">
        <v>84</v>
      </c>
      <c r="D16" s="145" t="s">
        <v>66</v>
      </c>
      <c r="E16" s="4">
        <v>6.0</v>
      </c>
      <c r="F16" s="151">
        <f t="shared" si="1"/>
        <v>2088</v>
      </c>
      <c r="G16" s="17">
        <v>520.0</v>
      </c>
      <c r="H16" s="152" t="b">
        <f t="shared" si="2"/>
        <v>0</v>
      </c>
    </row>
    <row r="17">
      <c r="F17" s="152"/>
      <c r="G17" s="153"/>
      <c r="H17" s="152"/>
    </row>
    <row r="18">
      <c r="F18" s="152"/>
      <c r="G18" s="152"/>
      <c r="H18" s="152"/>
    </row>
    <row r="19">
      <c r="F19" s="152"/>
      <c r="G19" s="152"/>
      <c r="H19" s="152"/>
    </row>
    <row r="20">
      <c r="F20" s="152"/>
      <c r="G20" s="152"/>
      <c r="H20" s="152"/>
    </row>
    <row r="21">
      <c r="F21" s="152"/>
      <c r="G21" s="152"/>
      <c r="H21" s="152"/>
    </row>
    <row r="22">
      <c r="F22" s="152"/>
      <c r="G22" s="152"/>
      <c r="H22" s="152"/>
    </row>
    <row r="23">
      <c r="F23" s="152"/>
      <c r="G23" s="152"/>
      <c r="H23" s="152"/>
    </row>
    <row r="24">
      <c r="F24" s="152"/>
      <c r="G24" s="152"/>
      <c r="H24" s="152"/>
    </row>
    <row r="25">
      <c r="F25" s="152"/>
      <c r="G25" s="152"/>
      <c r="H25" s="152"/>
    </row>
    <row r="26">
      <c r="F26" s="152"/>
      <c r="G26" s="152"/>
      <c r="H26" s="152"/>
    </row>
    <row r="27">
      <c r="F27" s="152"/>
      <c r="G27" s="152"/>
      <c r="H27" s="152"/>
    </row>
    <row r="28">
      <c r="F28" s="152"/>
      <c r="G28" s="152"/>
      <c r="H28" s="152"/>
    </row>
  </sheetData>
  <conditionalFormatting sqref="A1:A16">
    <cfRule type="expression" dxfId="4" priority="1">
      <formula>ROUNDUP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314</v>
      </c>
      <c r="B1" s="144" t="s">
        <v>94</v>
      </c>
      <c r="C1" s="144" t="s">
        <v>253</v>
      </c>
      <c r="D1" s="144" t="s">
        <v>0</v>
      </c>
      <c r="E1" s="85"/>
      <c r="F1" s="88" t="s">
        <v>271</v>
      </c>
      <c r="G1" s="89" t="s">
        <v>272</v>
      </c>
      <c r="H1" s="89" t="s">
        <v>273</v>
      </c>
      <c r="I1" s="89" t="s">
        <v>274</v>
      </c>
      <c r="J1" s="90" t="s">
        <v>275</v>
      </c>
      <c r="L1" s="96" t="s">
        <v>271</v>
      </c>
      <c r="M1" s="97" t="s">
        <v>272</v>
      </c>
      <c r="N1" s="97" t="s">
        <v>273</v>
      </c>
      <c r="O1" s="97" t="s">
        <v>274</v>
      </c>
      <c r="P1" s="98" t="s">
        <v>275</v>
      </c>
      <c r="R1" s="99" t="s">
        <v>271</v>
      </c>
      <c r="S1" s="99" t="s">
        <v>278</v>
      </c>
      <c r="T1" s="99" t="s">
        <v>279</v>
      </c>
      <c r="U1" s="99" t="s">
        <v>272</v>
      </c>
      <c r="V1" s="99" t="s">
        <v>280</v>
      </c>
    </row>
    <row r="2">
      <c r="A2" s="8">
        <f>ROUNDUP(4623,0)</f>
        <v>4623</v>
      </c>
      <c r="B2" s="145" t="s">
        <v>315</v>
      </c>
      <c r="C2" s="145" t="s">
        <v>283</v>
      </c>
      <c r="D2" s="145" t="s">
        <v>128</v>
      </c>
      <c r="F2" s="93" t="s">
        <v>74</v>
      </c>
      <c r="G2" s="92" t="s">
        <v>69</v>
      </c>
      <c r="H2" s="93" t="s">
        <v>283</v>
      </c>
      <c r="I2" s="92" t="s">
        <v>118</v>
      </c>
      <c r="J2" s="94">
        <v>343.092</v>
      </c>
      <c r="L2" s="100" t="s">
        <v>74</v>
      </c>
      <c r="M2" s="101" t="s">
        <v>69</v>
      </c>
      <c r="N2" s="100" t="s">
        <v>283</v>
      </c>
      <c r="O2" s="101" t="s">
        <v>118</v>
      </c>
      <c r="P2" s="102">
        <v>343.092</v>
      </c>
      <c r="R2" s="103" t="s">
        <v>65</v>
      </c>
      <c r="S2" s="104" t="s">
        <v>58</v>
      </c>
      <c r="T2" s="104" t="s">
        <v>70</v>
      </c>
      <c r="U2" s="104" t="s">
        <v>73</v>
      </c>
      <c r="V2" s="105">
        <v>161958.0</v>
      </c>
    </row>
    <row r="3">
      <c r="A3" s="8">
        <f>ROUNDUP(1729,0)</f>
        <v>1729</v>
      </c>
      <c r="B3" s="145" t="s">
        <v>19</v>
      </c>
      <c r="C3" s="145" t="s">
        <v>285</v>
      </c>
      <c r="D3" s="145" t="s">
        <v>128</v>
      </c>
      <c r="F3" s="92" t="s">
        <v>21</v>
      </c>
      <c r="G3" s="110" t="s">
        <v>26</v>
      </c>
      <c r="H3" s="93" t="s">
        <v>285</v>
      </c>
      <c r="I3" s="92" t="s">
        <v>19</v>
      </c>
      <c r="J3" s="120">
        <v>55.4</v>
      </c>
      <c r="L3" s="101" t="s">
        <v>21</v>
      </c>
      <c r="M3" s="101" t="s">
        <v>26</v>
      </c>
      <c r="N3" s="100" t="s">
        <v>285</v>
      </c>
      <c r="O3" s="101" t="s">
        <v>19</v>
      </c>
      <c r="P3" s="106">
        <v>55.4</v>
      </c>
      <c r="R3" s="103" t="s">
        <v>68</v>
      </c>
      <c r="S3" s="104" t="s">
        <v>59</v>
      </c>
      <c r="T3" s="104" t="s">
        <v>65</v>
      </c>
      <c r="U3" s="104" t="s">
        <v>60</v>
      </c>
      <c r="V3" s="105">
        <v>144846.0</v>
      </c>
    </row>
    <row r="4">
      <c r="A4" s="8">
        <v>12496.0</v>
      </c>
      <c r="B4" s="145" t="s">
        <v>60</v>
      </c>
      <c r="C4" s="145" t="s">
        <v>281</v>
      </c>
      <c r="D4" s="145" t="s">
        <v>128</v>
      </c>
      <c r="F4" s="91" t="s">
        <v>68</v>
      </c>
      <c r="G4" s="92" t="s">
        <v>59</v>
      </c>
      <c r="H4" s="93" t="s">
        <v>281</v>
      </c>
      <c r="I4" s="92" t="s">
        <v>60</v>
      </c>
      <c r="J4" s="94">
        <v>144.846</v>
      </c>
      <c r="L4" s="107" t="s">
        <v>68</v>
      </c>
      <c r="M4" s="101" t="s">
        <v>59</v>
      </c>
      <c r="N4" s="100" t="s">
        <v>281</v>
      </c>
      <c r="O4" s="101" t="s">
        <v>60</v>
      </c>
      <c r="P4" s="102">
        <v>144.846</v>
      </c>
      <c r="R4" s="103" t="s">
        <v>68</v>
      </c>
      <c r="S4" s="104" t="s">
        <v>59</v>
      </c>
      <c r="T4" s="104" t="s">
        <v>65</v>
      </c>
      <c r="U4" s="104" t="s">
        <v>61</v>
      </c>
      <c r="V4" s="105">
        <v>203111.0</v>
      </c>
    </row>
    <row r="5">
      <c r="A5" s="17">
        <v>967.0</v>
      </c>
      <c r="B5" s="145" t="s">
        <v>22</v>
      </c>
      <c r="C5" s="145" t="s">
        <v>288</v>
      </c>
      <c r="D5" s="145" t="s">
        <v>128</v>
      </c>
      <c r="F5" s="92" t="s">
        <v>260</v>
      </c>
      <c r="G5" s="92" t="s">
        <v>45</v>
      </c>
      <c r="H5" s="93" t="s">
        <v>288</v>
      </c>
      <c r="I5" s="92" t="s">
        <v>22</v>
      </c>
      <c r="J5" s="108">
        <v>62.41</v>
      </c>
      <c r="L5" s="101" t="s">
        <v>260</v>
      </c>
      <c r="M5" s="101" t="s">
        <v>45</v>
      </c>
      <c r="N5" s="100" t="s">
        <v>288</v>
      </c>
      <c r="O5" s="101" t="s">
        <v>22</v>
      </c>
      <c r="P5" s="106">
        <v>62.41</v>
      </c>
      <c r="R5" s="103" t="s">
        <v>68</v>
      </c>
      <c r="S5" s="104" t="s">
        <v>59</v>
      </c>
      <c r="T5" s="104" t="s">
        <v>65</v>
      </c>
      <c r="U5" s="104" t="s">
        <v>75</v>
      </c>
      <c r="V5" s="105">
        <v>94264.0</v>
      </c>
    </row>
    <row r="6">
      <c r="A6" s="8">
        <v>7766.0</v>
      </c>
      <c r="B6" s="145" t="s">
        <v>61</v>
      </c>
      <c r="C6" s="145" t="s">
        <v>284</v>
      </c>
      <c r="D6" s="145" t="s">
        <v>128</v>
      </c>
      <c r="F6" s="91" t="s">
        <v>68</v>
      </c>
      <c r="G6" s="92" t="s">
        <v>59</v>
      </c>
      <c r="H6" s="93" t="s">
        <v>284</v>
      </c>
      <c r="I6" s="92" t="s">
        <v>61</v>
      </c>
      <c r="J6" s="94">
        <v>203.111</v>
      </c>
      <c r="L6" s="107" t="s">
        <v>68</v>
      </c>
      <c r="M6" s="101" t="s">
        <v>59</v>
      </c>
      <c r="N6" s="100" t="s">
        <v>284</v>
      </c>
      <c r="O6" s="101" t="s">
        <v>61</v>
      </c>
      <c r="P6" s="102">
        <v>203.111</v>
      </c>
      <c r="R6" s="103" t="s">
        <v>72</v>
      </c>
      <c r="S6" s="104" t="s">
        <v>63</v>
      </c>
      <c r="T6" s="104" t="s">
        <v>84</v>
      </c>
      <c r="U6" s="104" t="s">
        <v>64</v>
      </c>
      <c r="V6" s="109" t="s">
        <v>290</v>
      </c>
    </row>
    <row r="7">
      <c r="A7" s="8">
        <v>1924.0</v>
      </c>
      <c r="B7" s="145" t="s">
        <v>28</v>
      </c>
      <c r="C7" s="145" t="s">
        <v>292</v>
      </c>
      <c r="D7" s="145" t="s">
        <v>128</v>
      </c>
      <c r="F7" s="93" t="s">
        <v>267</v>
      </c>
      <c r="G7" s="92" t="s">
        <v>43</v>
      </c>
      <c r="H7" s="93" t="s">
        <v>292</v>
      </c>
      <c r="I7" s="92" t="s">
        <v>28</v>
      </c>
      <c r="J7" s="108">
        <v>49.98</v>
      </c>
      <c r="L7" s="101" t="s">
        <v>259</v>
      </c>
      <c r="M7" s="101" t="s">
        <v>43</v>
      </c>
      <c r="N7" s="100" t="s">
        <v>292</v>
      </c>
      <c r="O7" s="101" t="s">
        <v>28</v>
      </c>
      <c r="P7" s="106">
        <v>49.98</v>
      </c>
      <c r="R7" s="104" t="s">
        <v>24</v>
      </c>
      <c r="S7" s="104" t="s">
        <v>20</v>
      </c>
      <c r="T7" s="104" t="s">
        <v>267</v>
      </c>
      <c r="U7" s="104" t="s">
        <v>88</v>
      </c>
      <c r="V7" s="111">
        <v>440971.0</v>
      </c>
    </row>
    <row r="8">
      <c r="A8" s="8">
        <v>2269.0</v>
      </c>
      <c r="B8" s="145" t="s">
        <v>31</v>
      </c>
      <c r="C8" s="145" t="s">
        <v>294</v>
      </c>
      <c r="D8" s="145" t="s">
        <v>128</v>
      </c>
      <c r="F8" s="92" t="s">
        <v>21</v>
      </c>
      <c r="G8" s="110" t="s">
        <v>26</v>
      </c>
      <c r="H8" s="93" t="s">
        <v>294</v>
      </c>
      <c r="I8" s="93" t="s">
        <v>31</v>
      </c>
      <c r="J8" s="121">
        <v>47.8</v>
      </c>
      <c r="L8" s="101" t="s">
        <v>21</v>
      </c>
      <c r="M8" s="101" t="s">
        <v>26</v>
      </c>
      <c r="N8" s="100" t="s">
        <v>294</v>
      </c>
      <c r="O8" s="100" t="s">
        <v>31</v>
      </c>
      <c r="P8" s="112">
        <v>47.8</v>
      </c>
      <c r="R8" s="104" t="s">
        <v>261</v>
      </c>
      <c r="S8" s="104" t="s">
        <v>34</v>
      </c>
      <c r="T8" s="104" t="s">
        <v>295</v>
      </c>
      <c r="U8" s="104" t="s">
        <v>120</v>
      </c>
      <c r="V8" s="113">
        <v>134.66</v>
      </c>
    </row>
    <row r="9">
      <c r="A9" s="8">
        <v>1330.0</v>
      </c>
      <c r="B9" s="145" t="s">
        <v>64</v>
      </c>
      <c r="C9" s="145" t="s">
        <v>287</v>
      </c>
      <c r="D9" s="145" t="s">
        <v>128</v>
      </c>
      <c r="F9" s="91" t="s">
        <v>72</v>
      </c>
      <c r="G9" s="92" t="s">
        <v>63</v>
      </c>
      <c r="H9" s="93" t="s">
        <v>287</v>
      </c>
      <c r="I9" s="92" t="s">
        <v>64</v>
      </c>
      <c r="J9" s="94">
        <v>59.2</v>
      </c>
      <c r="L9" s="107" t="s">
        <v>72</v>
      </c>
      <c r="M9" s="101" t="s">
        <v>63</v>
      </c>
      <c r="N9" s="100" t="s">
        <v>287</v>
      </c>
      <c r="O9" s="101" t="s">
        <v>64</v>
      </c>
      <c r="P9" s="102">
        <v>59.2</v>
      </c>
      <c r="R9" s="104" t="s">
        <v>296</v>
      </c>
      <c r="S9" s="104" t="s">
        <v>297</v>
      </c>
      <c r="T9" s="104" t="s">
        <v>12</v>
      </c>
      <c r="U9" s="104" t="s">
        <v>11</v>
      </c>
      <c r="V9" s="105">
        <v>1044466.0</v>
      </c>
    </row>
    <row r="10">
      <c r="A10" s="8">
        <v>2549.0</v>
      </c>
      <c r="B10" s="145" t="s">
        <v>33</v>
      </c>
      <c r="C10" s="145" t="s">
        <v>298</v>
      </c>
      <c r="D10" s="145" t="s">
        <v>128</v>
      </c>
      <c r="F10" s="92" t="s">
        <v>12</v>
      </c>
      <c r="G10" s="110" t="s">
        <v>23</v>
      </c>
      <c r="H10" s="93" t="s">
        <v>298</v>
      </c>
      <c r="I10" s="92" t="s">
        <v>33</v>
      </c>
      <c r="J10" s="108">
        <v>200.0</v>
      </c>
      <c r="L10" s="101" t="s">
        <v>12</v>
      </c>
      <c r="M10" s="101" t="s">
        <v>23</v>
      </c>
      <c r="N10" s="100" t="s">
        <v>298</v>
      </c>
      <c r="O10" s="101" t="s">
        <v>33</v>
      </c>
      <c r="P10" s="106">
        <v>200.0</v>
      </c>
      <c r="R10" s="104" t="s">
        <v>296</v>
      </c>
      <c r="S10" s="104" t="s">
        <v>297</v>
      </c>
      <c r="T10" s="104" t="s">
        <v>24</v>
      </c>
      <c r="U10" s="104" t="s">
        <v>20</v>
      </c>
      <c r="V10" s="105">
        <v>1144628.0</v>
      </c>
    </row>
    <row r="11">
      <c r="A11" s="8">
        <v>11369.0</v>
      </c>
      <c r="B11" s="145" t="s">
        <v>35</v>
      </c>
      <c r="C11" s="145" t="s">
        <v>299</v>
      </c>
      <c r="D11" s="145" t="s">
        <v>128</v>
      </c>
      <c r="F11" s="92" t="s">
        <v>12</v>
      </c>
      <c r="G11" s="110" t="s">
        <v>23</v>
      </c>
      <c r="H11" s="93" t="s">
        <v>299</v>
      </c>
      <c r="I11" s="92" t="s">
        <v>35</v>
      </c>
      <c r="J11" s="108">
        <v>16.37</v>
      </c>
      <c r="L11" s="101" t="s">
        <v>12</v>
      </c>
      <c r="M11" s="101" t="s">
        <v>23</v>
      </c>
      <c r="N11" s="100" t="s">
        <v>299</v>
      </c>
      <c r="O11" s="101" t="s">
        <v>35</v>
      </c>
      <c r="P11" s="106">
        <v>16.37</v>
      </c>
      <c r="R11" s="104" t="s">
        <v>27</v>
      </c>
      <c r="S11" s="104" t="s">
        <v>17</v>
      </c>
      <c r="T11" s="104" t="s">
        <v>266</v>
      </c>
      <c r="U11" s="104" t="s">
        <v>119</v>
      </c>
      <c r="V11" s="113">
        <v>275.58</v>
      </c>
    </row>
    <row r="12">
      <c r="A12" s="8">
        <v>2561.0</v>
      </c>
      <c r="B12" s="145" t="s">
        <v>36</v>
      </c>
      <c r="C12" s="145" t="s">
        <v>300</v>
      </c>
      <c r="D12" s="145" t="s">
        <v>128</v>
      </c>
      <c r="F12" s="92" t="s">
        <v>12</v>
      </c>
      <c r="G12" s="110" t="s">
        <v>23</v>
      </c>
      <c r="H12" s="93" t="s">
        <v>300</v>
      </c>
      <c r="I12" s="92" t="s">
        <v>36</v>
      </c>
      <c r="J12" s="108">
        <v>97.42</v>
      </c>
      <c r="L12" s="101" t="s">
        <v>12</v>
      </c>
      <c r="M12" s="101" t="s">
        <v>23</v>
      </c>
      <c r="N12" s="100" t="s">
        <v>300</v>
      </c>
      <c r="O12" s="101" t="s">
        <v>36</v>
      </c>
      <c r="P12" s="106">
        <v>97.42</v>
      </c>
      <c r="R12" s="104" t="s">
        <v>27</v>
      </c>
      <c r="S12" s="104" t="s">
        <v>17</v>
      </c>
      <c r="T12" s="104" t="s">
        <v>301</v>
      </c>
      <c r="U12" s="104" t="s">
        <v>37</v>
      </c>
      <c r="V12" s="113">
        <v>154.22</v>
      </c>
    </row>
    <row r="13">
      <c r="A13" s="8">
        <f>3105+208</f>
        <v>3313</v>
      </c>
      <c r="B13" s="145" t="s">
        <v>67</v>
      </c>
      <c r="C13" s="145" t="s">
        <v>302</v>
      </c>
      <c r="D13" s="145" t="s">
        <v>128</v>
      </c>
      <c r="E13" s="146"/>
      <c r="F13" s="91" t="s">
        <v>77</v>
      </c>
      <c r="G13" s="134" t="s">
        <v>76</v>
      </c>
      <c r="H13" s="127" t="s">
        <v>302</v>
      </c>
      <c r="I13" s="134" t="s">
        <v>67</v>
      </c>
      <c r="J13" s="121">
        <v>352.4</v>
      </c>
      <c r="L13" s="107" t="s">
        <v>77</v>
      </c>
      <c r="M13" s="115" t="s">
        <v>76</v>
      </c>
      <c r="N13" s="116" t="s">
        <v>302</v>
      </c>
      <c r="O13" s="115" t="s">
        <v>67</v>
      </c>
      <c r="P13" s="112">
        <v>352.4</v>
      </c>
      <c r="R13" s="104" t="s">
        <v>27</v>
      </c>
      <c r="S13" s="104" t="s">
        <v>17</v>
      </c>
      <c r="T13" s="104" t="s">
        <v>293</v>
      </c>
      <c r="U13" s="104" t="s">
        <v>54</v>
      </c>
      <c r="V13" s="113">
        <v>13.78</v>
      </c>
    </row>
    <row r="14">
      <c r="A14" s="8">
        <v>3579.0</v>
      </c>
      <c r="B14" s="145" t="s">
        <v>37</v>
      </c>
      <c r="C14" s="145" t="s">
        <v>291</v>
      </c>
      <c r="D14" s="145" t="s">
        <v>128</v>
      </c>
      <c r="F14" s="92" t="s">
        <v>27</v>
      </c>
      <c r="G14" s="110" t="s">
        <v>17</v>
      </c>
      <c r="H14" s="93" t="s">
        <v>291</v>
      </c>
      <c r="I14" s="92" t="s">
        <v>37</v>
      </c>
      <c r="J14" s="108">
        <v>154.22</v>
      </c>
      <c r="L14" s="101" t="s">
        <v>27</v>
      </c>
      <c r="M14" s="101" t="s">
        <v>17</v>
      </c>
      <c r="N14" s="100" t="s">
        <v>291</v>
      </c>
      <c r="O14" s="101" t="s">
        <v>37</v>
      </c>
      <c r="P14" s="106">
        <v>154.22</v>
      </c>
      <c r="R14" s="104" t="s">
        <v>24</v>
      </c>
      <c r="S14" s="104" t="s">
        <v>20</v>
      </c>
      <c r="T14" s="104" t="s">
        <v>262</v>
      </c>
      <c r="U14" s="104" t="s">
        <v>89</v>
      </c>
      <c r="V14" s="105">
        <v>1046393.0</v>
      </c>
    </row>
    <row r="15">
      <c r="A15" s="8">
        <v>3692.0</v>
      </c>
      <c r="B15" s="145" t="s">
        <v>38</v>
      </c>
      <c r="C15" s="145" t="s">
        <v>303</v>
      </c>
      <c r="D15" s="145" t="s">
        <v>128</v>
      </c>
      <c r="F15" s="92" t="s">
        <v>21</v>
      </c>
      <c r="G15" s="110" t="s">
        <v>26</v>
      </c>
      <c r="H15" s="93" t="s">
        <v>303</v>
      </c>
      <c r="I15" s="92" t="s">
        <v>38</v>
      </c>
      <c r="J15" s="108">
        <v>170.45</v>
      </c>
      <c r="L15" s="101" t="s">
        <v>21</v>
      </c>
      <c r="M15" s="101" t="s">
        <v>26</v>
      </c>
      <c r="N15" s="100" t="s">
        <v>303</v>
      </c>
      <c r="O15" s="101" t="s">
        <v>38</v>
      </c>
      <c r="P15" s="106">
        <v>170.45</v>
      </c>
      <c r="R15" s="104" t="s">
        <v>24</v>
      </c>
      <c r="S15" s="104" t="s">
        <v>20</v>
      </c>
      <c r="T15" s="104" t="s">
        <v>264</v>
      </c>
      <c r="U15" s="104" t="s">
        <v>90</v>
      </c>
      <c r="V15" s="105">
        <v>924619.0</v>
      </c>
    </row>
    <row r="16">
      <c r="A16" s="8">
        <v>4425.0</v>
      </c>
      <c r="B16" s="145" t="s">
        <v>41</v>
      </c>
      <c r="C16" s="145" t="s">
        <v>301</v>
      </c>
      <c r="D16" s="145" t="s">
        <v>128</v>
      </c>
      <c r="F16" s="93" t="s">
        <v>267</v>
      </c>
      <c r="G16" s="92" t="s">
        <v>43</v>
      </c>
      <c r="H16" s="127" t="s">
        <v>301</v>
      </c>
      <c r="I16" s="128" t="s">
        <v>41</v>
      </c>
      <c r="J16" s="119">
        <v>138.45</v>
      </c>
      <c r="L16" s="101" t="s">
        <v>259</v>
      </c>
      <c r="M16" s="101" t="s">
        <v>43</v>
      </c>
      <c r="N16" s="116" t="s">
        <v>301</v>
      </c>
      <c r="O16" s="117" t="s">
        <v>41</v>
      </c>
      <c r="P16" s="118">
        <v>138.45</v>
      </c>
      <c r="R16" s="104" t="s">
        <v>24</v>
      </c>
      <c r="S16" s="104" t="s">
        <v>20</v>
      </c>
      <c r="T16" s="104" t="s">
        <v>269</v>
      </c>
      <c r="U16" s="104" t="s">
        <v>91</v>
      </c>
      <c r="V16" s="105">
        <v>179485.0</v>
      </c>
    </row>
    <row r="17">
      <c r="A17" s="8">
        <v>2672.0</v>
      </c>
      <c r="B17" s="145" t="s">
        <v>42</v>
      </c>
      <c r="C17" s="145" t="s">
        <v>289</v>
      </c>
      <c r="D17" s="145" t="s">
        <v>128</v>
      </c>
      <c r="F17" s="93" t="s">
        <v>262</v>
      </c>
      <c r="G17" s="92" t="s">
        <v>34</v>
      </c>
      <c r="H17" s="93" t="s">
        <v>289</v>
      </c>
      <c r="I17" s="92" t="s">
        <v>120</v>
      </c>
      <c r="J17" s="108">
        <v>134.66</v>
      </c>
      <c r="L17" s="101" t="s">
        <v>261</v>
      </c>
      <c r="M17" s="101" t="s">
        <v>34</v>
      </c>
      <c r="N17" s="100" t="s">
        <v>289</v>
      </c>
      <c r="O17" s="101" t="s">
        <v>120</v>
      </c>
      <c r="P17" s="106">
        <v>134.66</v>
      </c>
      <c r="R17" s="104" t="s">
        <v>12</v>
      </c>
      <c r="S17" s="104" t="s">
        <v>23</v>
      </c>
      <c r="T17" s="104" t="s">
        <v>263</v>
      </c>
      <c r="U17" s="104" t="s">
        <v>32</v>
      </c>
      <c r="V17" s="113">
        <v>194.85</v>
      </c>
    </row>
    <row r="18">
      <c r="A18" s="8">
        <v>6285.0</v>
      </c>
      <c r="B18" s="145" t="s">
        <v>71</v>
      </c>
      <c r="C18" s="145" t="s">
        <v>305</v>
      </c>
      <c r="D18" s="145" t="s">
        <v>128</v>
      </c>
      <c r="F18" s="91" t="s">
        <v>81</v>
      </c>
      <c r="G18" s="92" t="s">
        <v>80</v>
      </c>
      <c r="H18" s="93" t="s">
        <v>305</v>
      </c>
      <c r="I18" s="92" t="s">
        <v>71</v>
      </c>
      <c r="J18" s="94">
        <v>212.077</v>
      </c>
      <c r="L18" s="107" t="s">
        <v>81</v>
      </c>
      <c r="M18" s="101" t="s">
        <v>80</v>
      </c>
      <c r="N18" s="100" t="s">
        <v>305</v>
      </c>
      <c r="O18" s="101" t="s">
        <v>71</v>
      </c>
      <c r="P18" s="102">
        <v>212.077</v>
      </c>
      <c r="R18" s="104" t="s">
        <v>12</v>
      </c>
      <c r="S18" s="104" t="s">
        <v>23</v>
      </c>
      <c r="T18" s="104" t="s">
        <v>302</v>
      </c>
      <c r="U18" s="104" t="s">
        <v>33</v>
      </c>
      <c r="V18" s="113">
        <v>200.0</v>
      </c>
    </row>
    <row r="19">
      <c r="A19" s="8">
        <v>1826.0</v>
      </c>
      <c r="B19" s="145" t="s">
        <v>44</v>
      </c>
      <c r="C19" s="145" t="s">
        <v>295</v>
      </c>
      <c r="D19" s="145" t="s">
        <v>128</v>
      </c>
      <c r="F19" s="92" t="s">
        <v>12</v>
      </c>
      <c r="G19" s="110" t="s">
        <v>23</v>
      </c>
      <c r="H19" s="93" t="s">
        <v>295</v>
      </c>
      <c r="I19" s="92" t="s">
        <v>44</v>
      </c>
      <c r="J19" s="108">
        <v>55.23</v>
      </c>
      <c r="L19" s="101" t="s">
        <v>12</v>
      </c>
      <c r="M19" s="101" t="s">
        <v>23</v>
      </c>
      <c r="N19" s="100" t="s">
        <v>295</v>
      </c>
      <c r="O19" s="101" t="s">
        <v>44</v>
      </c>
      <c r="P19" s="106">
        <v>55.23</v>
      </c>
      <c r="R19" s="104" t="s">
        <v>12</v>
      </c>
      <c r="S19" s="104" t="s">
        <v>23</v>
      </c>
      <c r="T19" s="104" t="s">
        <v>291</v>
      </c>
      <c r="U19" s="104" t="s">
        <v>35</v>
      </c>
      <c r="V19" s="113">
        <v>16.37</v>
      </c>
    </row>
    <row r="20">
      <c r="A20" s="8">
        <v>1223.0</v>
      </c>
      <c r="B20" s="145" t="s">
        <v>46</v>
      </c>
      <c r="C20" s="145" t="s">
        <v>307</v>
      </c>
      <c r="D20" s="145" t="s">
        <v>128</v>
      </c>
      <c r="F20" s="92" t="s">
        <v>30</v>
      </c>
      <c r="G20" s="110" t="s">
        <v>29</v>
      </c>
      <c r="H20" s="93" t="s">
        <v>307</v>
      </c>
      <c r="I20" s="92" t="s">
        <v>46</v>
      </c>
      <c r="J20" s="108">
        <v>71.72</v>
      </c>
      <c r="L20" s="101" t="s">
        <v>30</v>
      </c>
      <c r="M20" s="101" t="s">
        <v>29</v>
      </c>
      <c r="N20" s="100" t="s">
        <v>307</v>
      </c>
      <c r="O20" s="101" t="s">
        <v>46</v>
      </c>
      <c r="P20" s="106">
        <v>71.72</v>
      </c>
      <c r="R20" s="104" t="s">
        <v>12</v>
      </c>
      <c r="S20" s="104" t="s">
        <v>23</v>
      </c>
      <c r="T20" s="104" t="s">
        <v>303</v>
      </c>
      <c r="U20" s="104" t="s">
        <v>36</v>
      </c>
      <c r="V20" s="113">
        <v>97.42</v>
      </c>
    </row>
    <row r="21">
      <c r="A21" s="8">
        <v>4675.0</v>
      </c>
      <c r="B21" s="145" t="s">
        <v>73</v>
      </c>
      <c r="C21" s="145" t="s">
        <v>276</v>
      </c>
      <c r="D21" s="145" t="s">
        <v>128</v>
      </c>
      <c r="F21" s="91" t="s">
        <v>65</v>
      </c>
      <c r="G21" s="92" t="s">
        <v>58</v>
      </c>
      <c r="H21" s="93" t="s">
        <v>276</v>
      </c>
      <c r="I21" s="92" t="s">
        <v>73</v>
      </c>
      <c r="J21" s="94">
        <v>161.958</v>
      </c>
      <c r="L21" s="107" t="s">
        <v>65</v>
      </c>
      <c r="M21" s="101" t="s">
        <v>58</v>
      </c>
      <c r="N21" s="100" t="s">
        <v>276</v>
      </c>
      <c r="O21" s="101" t="s">
        <v>73</v>
      </c>
      <c r="P21" s="102">
        <v>161.958</v>
      </c>
      <c r="R21" s="104" t="s">
        <v>12</v>
      </c>
      <c r="S21" s="104" t="s">
        <v>23</v>
      </c>
      <c r="T21" s="104" t="s">
        <v>259</v>
      </c>
      <c r="U21" s="104" t="s">
        <v>43</v>
      </c>
      <c r="V21" s="113">
        <v>375.38</v>
      </c>
    </row>
    <row r="22">
      <c r="A22" s="8">
        <v>3422.0</v>
      </c>
      <c r="B22" s="145" t="s">
        <v>47</v>
      </c>
      <c r="C22" s="145" t="s">
        <v>308</v>
      </c>
      <c r="D22" s="145" t="s">
        <v>128</v>
      </c>
      <c r="F22" s="92" t="s">
        <v>260</v>
      </c>
      <c r="G22" s="92" t="s">
        <v>45</v>
      </c>
      <c r="H22" s="93" t="s">
        <v>308</v>
      </c>
      <c r="I22" s="92" t="s">
        <v>47</v>
      </c>
      <c r="J22" s="108">
        <v>103.54</v>
      </c>
      <c r="L22" s="101" t="s">
        <v>260</v>
      </c>
      <c r="M22" s="101" t="s">
        <v>45</v>
      </c>
      <c r="N22" s="100" t="s">
        <v>308</v>
      </c>
      <c r="O22" s="101" t="s">
        <v>47</v>
      </c>
      <c r="P22" s="106">
        <v>103.54</v>
      </c>
      <c r="R22" s="104" t="s">
        <v>12</v>
      </c>
      <c r="S22" s="104" t="s">
        <v>23</v>
      </c>
      <c r="T22" s="104" t="s">
        <v>276</v>
      </c>
      <c r="U22" s="104" t="s">
        <v>44</v>
      </c>
      <c r="V22" s="113">
        <v>55.23</v>
      </c>
    </row>
    <row r="23">
      <c r="A23" s="8">
        <v>4287.0</v>
      </c>
      <c r="B23" s="145" t="s">
        <v>75</v>
      </c>
      <c r="C23" s="145" t="s">
        <v>286</v>
      </c>
      <c r="D23" s="145" t="s">
        <v>128</v>
      </c>
      <c r="F23" s="91" t="s">
        <v>68</v>
      </c>
      <c r="G23" s="92" t="s">
        <v>59</v>
      </c>
      <c r="H23" s="93" t="s">
        <v>286</v>
      </c>
      <c r="I23" s="92" t="s">
        <v>75</v>
      </c>
      <c r="J23" s="94">
        <v>94.264</v>
      </c>
      <c r="L23" s="107" t="s">
        <v>68</v>
      </c>
      <c r="M23" s="101" t="s">
        <v>59</v>
      </c>
      <c r="N23" s="100" t="s">
        <v>286</v>
      </c>
      <c r="O23" s="101" t="s">
        <v>75</v>
      </c>
      <c r="P23" s="102">
        <v>94.264</v>
      </c>
      <c r="R23" s="104" t="s">
        <v>12</v>
      </c>
      <c r="S23" s="104" t="s">
        <v>23</v>
      </c>
      <c r="T23" s="104" t="s">
        <v>306</v>
      </c>
      <c r="U23" s="104" t="s">
        <v>51</v>
      </c>
      <c r="V23" s="113">
        <v>41.33</v>
      </c>
    </row>
    <row r="24">
      <c r="A24" s="8">
        <v>3554.0</v>
      </c>
      <c r="B24" s="145" t="s">
        <v>49</v>
      </c>
      <c r="C24" s="145" t="s">
        <v>309</v>
      </c>
      <c r="D24" s="145" t="s">
        <v>128</v>
      </c>
      <c r="F24" s="92" t="s">
        <v>260</v>
      </c>
      <c r="G24" s="92" t="s">
        <v>45</v>
      </c>
      <c r="H24" s="93" t="s">
        <v>309</v>
      </c>
      <c r="I24" s="92" t="s">
        <v>49</v>
      </c>
      <c r="J24" s="108">
        <v>80.4</v>
      </c>
      <c r="L24" s="101" t="s">
        <v>260</v>
      </c>
      <c r="M24" s="101" t="s">
        <v>45</v>
      </c>
      <c r="N24" s="100" t="s">
        <v>309</v>
      </c>
      <c r="O24" s="101" t="s">
        <v>49</v>
      </c>
      <c r="P24" s="106">
        <v>80.4</v>
      </c>
      <c r="R24" s="104" t="s">
        <v>260</v>
      </c>
      <c r="S24" s="122" t="s">
        <v>23</v>
      </c>
      <c r="T24" s="104" t="s">
        <v>310</v>
      </c>
      <c r="U24" s="104" t="s">
        <v>50</v>
      </c>
      <c r="V24" s="123">
        <v>224.38</v>
      </c>
    </row>
    <row r="25">
      <c r="A25" s="8">
        <v>3964.0</v>
      </c>
      <c r="B25" s="147" t="s">
        <v>86</v>
      </c>
      <c r="C25" s="145" t="s">
        <v>311</v>
      </c>
      <c r="D25" s="145" t="s">
        <v>128</v>
      </c>
      <c r="F25" s="91" t="s">
        <v>77</v>
      </c>
      <c r="G25" s="134" t="s">
        <v>76</v>
      </c>
      <c r="H25" s="93" t="s">
        <v>311</v>
      </c>
      <c r="I25" s="92" t="s">
        <v>86</v>
      </c>
      <c r="J25" s="94">
        <v>151.0</v>
      </c>
      <c r="L25" s="107" t="s">
        <v>77</v>
      </c>
      <c r="M25" s="115" t="s">
        <v>76</v>
      </c>
      <c r="N25" s="100" t="s">
        <v>311</v>
      </c>
      <c r="O25" s="101" t="s">
        <v>86</v>
      </c>
      <c r="P25" s="102">
        <v>151.0</v>
      </c>
      <c r="R25" s="104" t="s">
        <v>21</v>
      </c>
      <c r="S25" s="104" t="s">
        <v>26</v>
      </c>
      <c r="T25" s="104" t="s">
        <v>284</v>
      </c>
      <c r="U25" s="104" t="s">
        <v>19</v>
      </c>
      <c r="V25" s="113">
        <v>55.4</v>
      </c>
    </row>
    <row r="26">
      <c r="A26" s="8">
        <v>1169.0</v>
      </c>
      <c r="B26" s="145" t="s">
        <v>50</v>
      </c>
      <c r="C26" s="145" t="s">
        <v>304</v>
      </c>
      <c r="D26" s="145" t="s">
        <v>128</v>
      </c>
      <c r="F26" s="93" t="s">
        <v>24</v>
      </c>
      <c r="G26" s="93" t="s">
        <v>23</v>
      </c>
      <c r="H26" s="93" t="s">
        <v>304</v>
      </c>
      <c r="I26" s="92" t="s">
        <v>50</v>
      </c>
      <c r="J26" s="119">
        <v>224.38</v>
      </c>
      <c r="L26" s="101" t="s">
        <v>260</v>
      </c>
      <c r="M26" s="100" t="s">
        <v>23</v>
      </c>
      <c r="N26" s="100" t="s">
        <v>304</v>
      </c>
      <c r="O26" s="101" t="s">
        <v>50</v>
      </c>
      <c r="P26" s="118">
        <v>224.38</v>
      </c>
      <c r="R26" s="104" t="s">
        <v>21</v>
      </c>
      <c r="S26" s="104" t="s">
        <v>26</v>
      </c>
      <c r="T26" s="104" t="s">
        <v>289</v>
      </c>
      <c r="U26" s="104" t="s">
        <v>38</v>
      </c>
      <c r="V26" s="113">
        <v>170.45</v>
      </c>
    </row>
    <row r="27">
      <c r="A27" s="8">
        <f>2842+3</f>
        <v>2845</v>
      </c>
      <c r="B27" s="147" t="s">
        <v>82</v>
      </c>
      <c r="C27" s="145" t="s">
        <v>310</v>
      </c>
      <c r="D27" s="145" t="s">
        <v>128</v>
      </c>
      <c r="F27" s="91" t="s">
        <v>77</v>
      </c>
      <c r="G27" s="137" t="s">
        <v>76</v>
      </c>
      <c r="H27" s="127" t="s">
        <v>310</v>
      </c>
      <c r="I27" s="137" t="s">
        <v>82</v>
      </c>
      <c r="J27" s="121">
        <v>321.0</v>
      </c>
      <c r="L27" s="107" t="s">
        <v>81</v>
      </c>
      <c r="M27" s="115" t="s">
        <v>76</v>
      </c>
      <c r="N27" s="116" t="s">
        <v>310</v>
      </c>
      <c r="O27" s="115" t="s">
        <v>82</v>
      </c>
      <c r="P27" s="112">
        <v>321.0</v>
      </c>
      <c r="R27" s="104" t="s">
        <v>21</v>
      </c>
      <c r="S27" s="104" t="s">
        <v>26</v>
      </c>
      <c r="T27" s="104" t="s">
        <v>312</v>
      </c>
      <c r="U27" s="104" t="s">
        <v>52</v>
      </c>
      <c r="V27" s="113">
        <v>35.19</v>
      </c>
    </row>
    <row r="28">
      <c r="A28" s="8">
        <v>1978.0</v>
      </c>
      <c r="B28" s="145" t="s">
        <v>51</v>
      </c>
      <c r="C28" s="145" t="s">
        <v>306</v>
      </c>
      <c r="D28" s="145" t="s">
        <v>128</v>
      </c>
      <c r="F28" s="92" t="s">
        <v>12</v>
      </c>
      <c r="G28" s="110" t="s">
        <v>23</v>
      </c>
      <c r="H28" s="110" t="s">
        <v>306</v>
      </c>
      <c r="I28" s="92" t="s">
        <v>51</v>
      </c>
      <c r="J28" s="108">
        <v>41.33</v>
      </c>
      <c r="L28" s="101" t="s">
        <v>12</v>
      </c>
      <c r="M28" s="101" t="s">
        <v>23</v>
      </c>
      <c r="N28" s="101" t="s">
        <v>306</v>
      </c>
      <c r="O28" s="101" t="s">
        <v>51</v>
      </c>
      <c r="P28" s="106">
        <v>41.33</v>
      </c>
      <c r="R28" s="104" t="s">
        <v>21</v>
      </c>
      <c r="S28" s="104" t="s">
        <v>26</v>
      </c>
      <c r="T28" s="122" t="s">
        <v>294</v>
      </c>
      <c r="U28" s="122" t="s">
        <v>31</v>
      </c>
      <c r="V28" s="126">
        <v>47.8</v>
      </c>
    </row>
    <row r="29">
      <c r="A29" s="148">
        <v>2088.0</v>
      </c>
      <c r="B29" s="147" t="s">
        <v>52</v>
      </c>
      <c r="C29" s="145" t="s">
        <v>312</v>
      </c>
      <c r="D29" s="145" t="s">
        <v>128</v>
      </c>
      <c r="F29" s="92" t="s">
        <v>21</v>
      </c>
      <c r="G29" s="110" t="s">
        <v>26</v>
      </c>
      <c r="H29" s="110" t="s">
        <v>312</v>
      </c>
      <c r="I29" s="92" t="s">
        <v>52</v>
      </c>
      <c r="J29" s="108">
        <v>35.19</v>
      </c>
      <c r="L29" s="101" t="s">
        <v>21</v>
      </c>
      <c r="M29" s="101" t="s">
        <v>26</v>
      </c>
      <c r="N29" s="101" t="s">
        <v>312</v>
      </c>
      <c r="O29" s="101" t="s">
        <v>52</v>
      </c>
      <c r="P29" s="106">
        <v>35.19</v>
      </c>
      <c r="R29" s="122" t="s">
        <v>74</v>
      </c>
      <c r="S29" s="104" t="s">
        <v>69</v>
      </c>
      <c r="T29" s="122" t="s">
        <v>283</v>
      </c>
      <c r="U29" s="104" t="s">
        <v>118</v>
      </c>
      <c r="V29" s="105">
        <v>343092.0</v>
      </c>
    </row>
    <row r="30">
      <c r="A30" s="8">
        <v>3785.0</v>
      </c>
      <c r="B30" s="145" t="s">
        <v>53</v>
      </c>
      <c r="C30" s="145" t="s">
        <v>313</v>
      </c>
      <c r="D30" s="145" t="s">
        <v>128</v>
      </c>
      <c r="F30" s="93" t="s">
        <v>267</v>
      </c>
      <c r="G30" s="92" t="s">
        <v>43</v>
      </c>
      <c r="H30" s="110" t="s">
        <v>313</v>
      </c>
      <c r="I30" s="92" t="s">
        <v>53</v>
      </c>
      <c r="J30" s="108">
        <v>72.18</v>
      </c>
      <c r="L30" s="101" t="s">
        <v>259</v>
      </c>
      <c r="M30" s="101" t="s">
        <v>43</v>
      </c>
      <c r="N30" s="101" t="s">
        <v>313</v>
      </c>
      <c r="O30" s="101" t="s">
        <v>53</v>
      </c>
      <c r="P30" s="106">
        <v>72.18</v>
      </c>
      <c r="R30" s="104" t="s">
        <v>259</v>
      </c>
      <c r="S30" s="104" t="s">
        <v>43</v>
      </c>
      <c r="T30" s="104" t="s">
        <v>298</v>
      </c>
      <c r="U30" s="104" t="s">
        <v>28</v>
      </c>
      <c r="V30" s="113">
        <v>49.98</v>
      </c>
    </row>
    <row r="31">
      <c r="A31" s="8">
        <v>2181.0</v>
      </c>
      <c r="B31" s="147" t="s">
        <v>54</v>
      </c>
      <c r="C31" s="145" t="s">
        <v>293</v>
      </c>
      <c r="D31" s="145" t="s">
        <v>128</v>
      </c>
      <c r="F31" s="92" t="s">
        <v>27</v>
      </c>
      <c r="G31" s="110" t="s">
        <v>17</v>
      </c>
      <c r="H31" s="110" t="s">
        <v>293</v>
      </c>
      <c r="I31" s="92" t="s">
        <v>54</v>
      </c>
      <c r="J31" s="108">
        <v>13.78</v>
      </c>
      <c r="L31" s="101" t="s">
        <v>27</v>
      </c>
      <c r="M31" s="101" t="s">
        <v>17</v>
      </c>
      <c r="N31" s="101" t="s">
        <v>293</v>
      </c>
      <c r="O31" s="101" t="s">
        <v>54</v>
      </c>
      <c r="P31" s="106">
        <v>13.78</v>
      </c>
      <c r="R31" s="104" t="s">
        <v>259</v>
      </c>
      <c r="S31" s="104" t="s">
        <v>43</v>
      </c>
      <c r="T31" s="104" t="s">
        <v>313</v>
      </c>
      <c r="U31" s="104" t="s">
        <v>53</v>
      </c>
      <c r="V31" s="113">
        <v>72.18</v>
      </c>
    </row>
    <row r="32">
      <c r="A32" s="149">
        <v>28496.0</v>
      </c>
      <c r="B32" s="147" t="s">
        <v>11</v>
      </c>
      <c r="C32" s="145" t="s">
        <v>12</v>
      </c>
      <c r="D32" s="145" t="s">
        <v>13</v>
      </c>
      <c r="E32" s="4">
        <v>28496.0</v>
      </c>
      <c r="F32" s="92" t="s">
        <v>27</v>
      </c>
      <c r="G32" s="110" t="s">
        <v>17</v>
      </c>
      <c r="H32" s="93" t="s">
        <v>259</v>
      </c>
      <c r="I32" s="92" t="s">
        <v>119</v>
      </c>
      <c r="J32" s="108">
        <v>275.58</v>
      </c>
      <c r="L32" s="101" t="s">
        <v>27</v>
      </c>
      <c r="M32" s="101" t="s">
        <v>17</v>
      </c>
      <c r="N32" s="100" t="s">
        <v>259</v>
      </c>
      <c r="O32" s="101" t="s">
        <v>119</v>
      </c>
      <c r="P32" s="106">
        <v>275.58</v>
      </c>
      <c r="R32" s="104" t="s">
        <v>259</v>
      </c>
      <c r="S32" s="104" t="s">
        <v>43</v>
      </c>
      <c r="T32" s="122" t="s">
        <v>305</v>
      </c>
      <c r="U32" s="122" t="s">
        <v>41</v>
      </c>
      <c r="V32" s="123">
        <v>138.45</v>
      </c>
    </row>
    <row r="33">
      <c r="A33" s="149">
        <v>6252.0</v>
      </c>
      <c r="B33" s="147" t="s">
        <v>17</v>
      </c>
      <c r="C33" s="145" t="s">
        <v>18</v>
      </c>
      <c r="D33" s="145" t="s">
        <v>13</v>
      </c>
      <c r="E33" s="4">
        <v>14736.0</v>
      </c>
      <c r="F33" s="92" t="s">
        <v>24</v>
      </c>
      <c r="G33" s="92" t="s">
        <v>20</v>
      </c>
      <c r="H33" s="93" t="s">
        <v>260</v>
      </c>
      <c r="I33" s="92" t="s">
        <v>88</v>
      </c>
      <c r="J33" s="114">
        <v>440.971</v>
      </c>
      <c r="L33" s="101" t="s">
        <v>12</v>
      </c>
      <c r="M33" s="101" t="s">
        <v>23</v>
      </c>
      <c r="N33" s="101" t="s">
        <v>260</v>
      </c>
      <c r="O33" s="101" t="s">
        <v>45</v>
      </c>
      <c r="P33" s="130">
        <v>162.64</v>
      </c>
      <c r="R33" s="104" t="s">
        <v>30</v>
      </c>
      <c r="S33" s="104" t="s">
        <v>29</v>
      </c>
      <c r="T33" s="104" t="s">
        <v>268</v>
      </c>
      <c r="U33" s="104" t="s">
        <v>39</v>
      </c>
      <c r="V33" s="113">
        <v>589.5</v>
      </c>
    </row>
    <row r="34">
      <c r="A34" s="149">
        <v>17216.0</v>
      </c>
      <c r="B34" s="145" t="s">
        <v>20</v>
      </c>
      <c r="C34" s="145" t="s">
        <v>21</v>
      </c>
      <c r="D34" s="145" t="s">
        <v>13</v>
      </c>
      <c r="E34" s="4">
        <v>37767.0</v>
      </c>
      <c r="F34" s="92" t="s">
        <v>12</v>
      </c>
      <c r="G34" s="110" t="s">
        <v>23</v>
      </c>
      <c r="H34" s="93" t="s">
        <v>261</v>
      </c>
      <c r="I34" s="92" t="s">
        <v>32</v>
      </c>
      <c r="J34" s="108">
        <v>194.85</v>
      </c>
      <c r="L34" s="101" t="s">
        <v>24</v>
      </c>
      <c r="M34" s="101" t="s">
        <v>20</v>
      </c>
      <c r="N34" s="100" t="s">
        <v>260</v>
      </c>
      <c r="O34" s="101" t="s">
        <v>88</v>
      </c>
      <c r="P34" s="131">
        <v>440.971</v>
      </c>
      <c r="R34" s="104" t="s">
        <v>30</v>
      </c>
      <c r="S34" s="104" t="s">
        <v>29</v>
      </c>
      <c r="T34" s="104" t="s">
        <v>270</v>
      </c>
      <c r="U34" s="104" t="s">
        <v>40</v>
      </c>
      <c r="V34" s="113">
        <v>406.82</v>
      </c>
    </row>
    <row r="35">
      <c r="A35" s="149">
        <v>8800.0</v>
      </c>
      <c r="B35" s="147" t="s">
        <v>23</v>
      </c>
      <c r="C35" s="145" t="s">
        <v>24</v>
      </c>
      <c r="D35" s="145" t="s">
        <v>13</v>
      </c>
      <c r="E35" s="4">
        <v>62670.0</v>
      </c>
      <c r="F35" s="92" t="s">
        <v>21</v>
      </c>
      <c r="G35" s="110" t="s">
        <v>26</v>
      </c>
      <c r="H35" s="93" t="s">
        <v>262</v>
      </c>
      <c r="I35" s="124" t="s">
        <v>34</v>
      </c>
      <c r="J35" s="125">
        <v>396.91</v>
      </c>
      <c r="L35" s="101" t="s">
        <v>12</v>
      </c>
      <c r="M35" s="101" t="s">
        <v>23</v>
      </c>
      <c r="N35" s="100" t="s">
        <v>261</v>
      </c>
      <c r="O35" s="101" t="s">
        <v>32</v>
      </c>
      <c r="P35" s="106">
        <v>194.85</v>
      </c>
      <c r="R35" s="104" t="s">
        <v>30</v>
      </c>
      <c r="S35" s="104" t="s">
        <v>29</v>
      </c>
      <c r="T35" s="104" t="s">
        <v>308</v>
      </c>
      <c r="U35" s="104" t="s">
        <v>46</v>
      </c>
      <c r="V35" s="113">
        <v>71.72</v>
      </c>
    </row>
    <row r="36">
      <c r="A36" s="149">
        <v>6680.0</v>
      </c>
      <c r="B36" s="147" t="s">
        <v>26</v>
      </c>
      <c r="C36" s="145" t="s">
        <v>27</v>
      </c>
      <c r="D36" s="145" t="s">
        <v>13</v>
      </c>
      <c r="E36" s="4">
        <v>25418.0</v>
      </c>
      <c r="F36" s="92" t="s">
        <v>24</v>
      </c>
      <c r="G36" s="92" t="s">
        <v>20</v>
      </c>
      <c r="H36" s="93" t="s">
        <v>263</v>
      </c>
      <c r="I36" s="92" t="s">
        <v>89</v>
      </c>
      <c r="J36" s="94">
        <v>1046.393</v>
      </c>
      <c r="L36" s="101" t="s">
        <v>21</v>
      </c>
      <c r="M36" s="101" t="s">
        <v>26</v>
      </c>
      <c r="N36" s="101" t="s">
        <v>261</v>
      </c>
      <c r="O36" s="117" t="s">
        <v>34</v>
      </c>
      <c r="P36" s="150">
        <v>396.91</v>
      </c>
      <c r="R36" s="104" t="s">
        <v>30</v>
      </c>
      <c r="S36" s="104" t="s">
        <v>29</v>
      </c>
      <c r="T36" s="104" t="s">
        <v>265</v>
      </c>
      <c r="U36" s="104" t="s">
        <v>48</v>
      </c>
      <c r="V36" s="113">
        <v>206.67</v>
      </c>
    </row>
    <row r="37">
      <c r="A37" s="149">
        <v>7491.0</v>
      </c>
      <c r="B37" s="147" t="s">
        <v>29</v>
      </c>
      <c r="C37" s="145" t="s">
        <v>30</v>
      </c>
      <c r="D37" s="145" t="s">
        <v>13</v>
      </c>
      <c r="E37" s="4">
        <v>23275.0</v>
      </c>
      <c r="F37" s="92" t="s">
        <v>30</v>
      </c>
      <c r="G37" s="92" t="s">
        <v>29</v>
      </c>
      <c r="H37" s="93" t="s">
        <v>264</v>
      </c>
      <c r="I37" s="92" t="s">
        <v>39</v>
      </c>
      <c r="J37" s="108">
        <v>589.5</v>
      </c>
      <c r="L37" s="101" t="s">
        <v>21</v>
      </c>
      <c r="M37" s="101" t="s">
        <v>26</v>
      </c>
      <c r="N37" s="100" t="s">
        <v>262</v>
      </c>
      <c r="O37" s="117" t="s">
        <v>34</v>
      </c>
      <c r="P37" s="133">
        <v>396.91</v>
      </c>
      <c r="R37" s="104" t="s">
        <v>260</v>
      </c>
      <c r="S37" s="104" t="s">
        <v>45</v>
      </c>
      <c r="T37" s="104" t="s">
        <v>294</v>
      </c>
      <c r="U37" s="104" t="s">
        <v>22</v>
      </c>
      <c r="V37" s="113">
        <v>62.41</v>
      </c>
    </row>
    <row r="38">
      <c r="A38" s="149">
        <v>16518.0</v>
      </c>
      <c r="B38" s="147" t="s">
        <v>58</v>
      </c>
      <c r="C38" s="145" t="s">
        <v>65</v>
      </c>
      <c r="D38" s="145" t="s">
        <v>66</v>
      </c>
      <c r="E38" s="4">
        <v>21193.0</v>
      </c>
      <c r="F38" s="92" t="s">
        <v>30</v>
      </c>
      <c r="G38" s="110" t="s">
        <v>29</v>
      </c>
      <c r="H38" s="93" t="s">
        <v>265</v>
      </c>
      <c r="I38" s="92" t="s">
        <v>40</v>
      </c>
      <c r="J38" s="108">
        <v>406.82</v>
      </c>
      <c r="L38" s="101" t="s">
        <v>24</v>
      </c>
      <c r="M38" s="101" t="s">
        <v>20</v>
      </c>
      <c r="N38" s="100" t="s">
        <v>263</v>
      </c>
      <c r="O38" s="101" t="s">
        <v>89</v>
      </c>
      <c r="P38" s="102">
        <v>1046.393</v>
      </c>
      <c r="R38" s="104" t="s">
        <v>260</v>
      </c>
      <c r="S38" s="104" t="s">
        <v>45</v>
      </c>
      <c r="T38" s="104" t="s">
        <v>309</v>
      </c>
      <c r="U38" s="104" t="s">
        <v>47</v>
      </c>
      <c r="V38" s="113">
        <v>103.54</v>
      </c>
    </row>
    <row r="39">
      <c r="A39" s="149">
        <v>22620.0</v>
      </c>
      <c r="B39" s="147" t="s">
        <v>59</v>
      </c>
      <c r="C39" s="145" t="s">
        <v>68</v>
      </c>
      <c r="D39" s="145" t="s">
        <v>66</v>
      </c>
      <c r="E39" s="4">
        <v>47169.0</v>
      </c>
      <c r="F39" s="92" t="s">
        <v>24</v>
      </c>
      <c r="G39" s="92" t="s">
        <v>20</v>
      </c>
      <c r="H39" s="93" t="s">
        <v>266</v>
      </c>
      <c r="I39" s="92" t="s">
        <v>90</v>
      </c>
      <c r="J39" s="94">
        <v>924.619</v>
      </c>
      <c r="L39" s="101" t="s">
        <v>30</v>
      </c>
      <c r="M39" s="101" t="s">
        <v>29</v>
      </c>
      <c r="N39" s="100" t="s">
        <v>264</v>
      </c>
      <c r="O39" s="101" t="s">
        <v>39</v>
      </c>
      <c r="P39" s="106">
        <v>589.5</v>
      </c>
      <c r="R39" s="104" t="s">
        <v>260</v>
      </c>
      <c r="S39" s="104" t="s">
        <v>45</v>
      </c>
      <c r="T39" s="104" t="s">
        <v>304</v>
      </c>
      <c r="U39" s="104" t="s">
        <v>49</v>
      </c>
      <c r="V39" s="113">
        <v>80.4</v>
      </c>
    </row>
    <row r="40">
      <c r="A40" s="149">
        <v>2879.0</v>
      </c>
      <c r="B40" s="147" t="s">
        <v>62</v>
      </c>
      <c r="C40" s="145" t="s">
        <v>70</v>
      </c>
      <c r="D40" s="145" t="s">
        <v>66</v>
      </c>
      <c r="E40" s="4">
        <v>2879.0</v>
      </c>
      <c r="F40" s="92" t="s">
        <v>12</v>
      </c>
      <c r="G40" s="110" t="s">
        <v>23</v>
      </c>
      <c r="H40" s="93" t="s">
        <v>267</v>
      </c>
      <c r="I40" s="92" t="s">
        <v>43</v>
      </c>
      <c r="J40" s="108">
        <v>375.38</v>
      </c>
      <c r="L40" s="101" t="s">
        <v>30</v>
      </c>
      <c r="M40" s="101" t="s">
        <v>29</v>
      </c>
      <c r="N40" s="100" t="s">
        <v>265</v>
      </c>
      <c r="O40" s="101" t="s">
        <v>40</v>
      </c>
      <c r="P40" s="106">
        <v>406.82</v>
      </c>
      <c r="R40" s="103" t="s">
        <v>77</v>
      </c>
      <c r="S40" s="135" t="s">
        <v>76</v>
      </c>
      <c r="T40" s="104" t="s">
        <v>74</v>
      </c>
      <c r="U40" s="104" t="s">
        <v>86</v>
      </c>
      <c r="V40" s="136">
        <v>151.0</v>
      </c>
    </row>
    <row r="41">
      <c r="A41" s="149">
        <v>2010.0</v>
      </c>
      <c r="B41" s="147" t="s">
        <v>63</v>
      </c>
      <c r="C41" s="145" t="s">
        <v>72</v>
      </c>
      <c r="D41" s="145" t="s">
        <v>66</v>
      </c>
      <c r="E41" s="4">
        <v>3340.0</v>
      </c>
      <c r="F41" s="92" t="s">
        <v>12</v>
      </c>
      <c r="G41" s="110" t="s">
        <v>23</v>
      </c>
      <c r="H41" s="93" t="s">
        <v>268</v>
      </c>
      <c r="I41" s="110" t="s">
        <v>45</v>
      </c>
      <c r="J41" s="108">
        <v>162.64</v>
      </c>
      <c r="L41" s="101" t="s">
        <v>24</v>
      </c>
      <c r="M41" s="101" t="s">
        <v>20</v>
      </c>
      <c r="N41" s="100" t="s">
        <v>266</v>
      </c>
      <c r="O41" s="101" t="s">
        <v>90</v>
      </c>
      <c r="P41" s="102">
        <v>924.619</v>
      </c>
      <c r="R41" s="103" t="s">
        <v>77</v>
      </c>
      <c r="S41" s="135" t="s">
        <v>76</v>
      </c>
      <c r="T41" s="126" t="s">
        <v>302</v>
      </c>
      <c r="U41" s="135" t="s">
        <v>67</v>
      </c>
      <c r="V41" s="126">
        <v>352.4</v>
      </c>
    </row>
    <row r="42">
      <c r="A42" s="149">
        <v>4632.0</v>
      </c>
      <c r="B42" s="147" t="s">
        <v>69</v>
      </c>
      <c r="C42" s="145" t="s">
        <v>74</v>
      </c>
      <c r="D42" s="145" t="s">
        <v>66</v>
      </c>
      <c r="E42" s="4">
        <v>9255.0</v>
      </c>
      <c r="F42" s="92" t="s">
        <v>30</v>
      </c>
      <c r="G42" s="110" t="s">
        <v>29</v>
      </c>
      <c r="H42" s="93" t="s">
        <v>269</v>
      </c>
      <c r="I42" s="110" t="s">
        <v>48</v>
      </c>
      <c r="J42" s="108">
        <v>206.67</v>
      </c>
      <c r="L42" s="101" t="s">
        <v>12</v>
      </c>
      <c r="M42" s="101" t="s">
        <v>23</v>
      </c>
      <c r="N42" s="100" t="s">
        <v>267</v>
      </c>
      <c r="O42" s="101" t="s">
        <v>43</v>
      </c>
      <c r="P42" s="106">
        <v>375.38</v>
      </c>
      <c r="R42" s="103" t="s">
        <v>81</v>
      </c>
      <c r="S42" s="135" t="s">
        <v>76</v>
      </c>
      <c r="T42" s="126" t="s">
        <v>310</v>
      </c>
      <c r="U42" s="135" t="s">
        <v>82</v>
      </c>
      <c r="V42" s="126">
        <v>321.0</v>
      </c>
    </row>
    <row r="43">
      <c r="A43" s="149">
        <v>8377.0</v>
      </c>
      <c r="B43" s="147" t="s">
        <v>76</v>
      </c>
      <c r="C43" s="145" t="s">
        <v>77</v>
      </c>
      <c r="D43" s="145" t="s">
        <v>66</v>
      </c>
      <c r="E43" s="4">
        <v>18499.0</v>
      </c>
      <c r="F43" s="92" t="s">
        <v>24</v>
      </c>
      <c r="G43" s="92" t="s">
        <v>20</v>
      </c>
      <c r="H43" s="93" t="s">
        <v>270</v>
      </c>
      <c r="I43" s="92" t="s">
        <v>91</v>
      </c>
      <c r="J43" s="94">
        <v>179.485</v>
      </c>
      <c r="L43" s="101" t="s">
        <v>12</v>
      </c>
      <c r="M43" s="101" t="s">
        <v>23</v>
      </c>
      <c r="N43" s="100" t="s">
        <v>268</v>
      </c>
      <c r="O43" s="101" t="s">
        <v>45</v>
      </c>
      <c r="P43" s="106">
        <v>162.64</v>
      </c>
      <c r="R43" s="103" t="s">
        <v>81</v>
      </c>
      <c r="S43" s="104" t="s">
        <v>80</v>
      </c>
      <c r="T43" s="104" t="s">
        <v>72</v>
      </c>
      <c r="U43" s="104" t="s">
        <v>71</v>
      </c>
      <c r="V43" s="105">
        <v>212077.0</v>
      </c>
    </row>
    <row r="44">
      <c r="A44" s="149">
        <v>11295.0</v>
      </c>
      <c r="B44" s="147" t="s">
        <v>78</v>
      </c>
      <c r="C44" s="145" t="s">
        <v>79</v>
      </c>
      <c r="D44" s="145" t="s">
        <v>66</v>
      </c>
      <c r="E44" s="4">
        <v>11295.0</v>
      </c>
      <c r="L44" s="101" t="s">
        <v>30</v>
      </c>
      <c r="M44" s="101" t="s">
        <v>29</v>
      </c>
      <c r="N44" s="100" t="s">
        <v>269</v>
      </c>
      <c r="O44" s="101" t="s">
        <v>48</v>
      </c>
      <c r="P44" s="106">
        <v>206.67</v>
      </c>
      <c r="R44" s="104" t="s">
        <v>21</v>
      </c>
      <c r="S44" s="104" t="s">
        <v>26</v>
      </c>
      <c r="T44" s="104" t="s">
        <v>261</v>
      </c>
      <c r="U44" s="122" t="s">
        <v>34</v>
      </c>
      <c r="V44" s="136">
        <v>396.91</v>
      </c>
    </row>
    <row r="45">
      <c r="A45" s="149">
        <v>4316.0</v>
      </c>
      <c r="B45" s="147" t="s">
        <v>80</v>
      </c>
      <c r="C45" s="145" t="s">
        <v>81</v>
      </c>
      <c r="D45" s="145" t="s">
        <v>66</v>
      </c>
      <c r="E45" s="4">
        <v>10601.0</v>
      </c>
      <c r="L45" s="101" t="s">
        <v>24</v>
      </c>
      <c r="M45" s="101" t="s">
        <v>20</v>
      </c>
      <c r="N45" s="100" t="s">
        <v>270</v>
      </c>
      <c r="O45" s="101" t="s">
        <v>91</v>
      </c>
      <c r="P45" s="102">
        <v>179.485</v>
      </c>
      <c r="R45" s="104" t="s">
        <v>12</v>
      </c>
      <c r="S45" s="104" t="s">
        <v>23</v>
      </c>
      <c r="T45" s="104" t="s">
        <v>260</v>
      </c>
      <c r="U45" s="104" t="s">
        <v>45</v>
      </c>
      <c r="V45" s="113">
        <v>162.64</v>
      </c>
    </row>
    <row r="46">
      <c r="A46" s="149">
        <v>12523.0</v>
      </c>
      <c r="B46" s="145" t="s">
        <v>83</v>
      </c>
      <c r="C46" s="145" t="s">
        <v>84</v>
      </c>
      <c r="D46" s="145" t="s">
        <v>66</v>
      </c>
      <c r="E46" s="4">
        <v>12523.0</v>
      </c>
      <c r="N46" s="14"/>
      <c r="O46" s="14"/>
    </row>
    <row r="47">
      <c r="A47" s="8">
        <v>2724.0</v>
      </c>
      <c r="B47" s="145" t="s">
        <v>25</v>
      </c>
      <c r="C47" s="145" t="s">
        <v>259</v>
      </c>
      <c r="D47" s="145" t="s">
        <v>127</v>
      </c>
      <c r="N47" s="14"/>
      <c r="O47" s="14"/>
    </row>
    <row r="48">
      <c r="A48" s="8">
        <v>5783.0</v>
      </c>
      <c r="B48" s="145" t="s">
        <v>88</v>
      </c>
      <c r="C48" s="145" t="s">
        <v>260</v>
      </c>
      <c r="D48" s="145" t="s">
        <v>127</v>
      </c>
      <c r="N48" s="14"/>
      <c r="O48" s="14"/>
    </row>
    <row r="49">
      <c r="A49" s="8">
        <v>2871.0</v>
      </c>
      <c r="B49" s="145" t="s">
        <v>32</v>
      </c>
      <c r="C49" s="145" t="s">
        <v>261</v>
      </c>
      <c r="D49" s="145" t="s">
        <v>127</v>
      </c>
      <c r="N49" s="14"/>
      <c r="O49" s="14"/>
    </row>
    <row r="50">
      <c r="A50" s="8">
        <v>8017.0</v>
      </c>
      <c r="B50" s="145" t="s">
        <v>34</v>
      </c>
      <c r="C50" s="145" t="s">
        <v>262</v>
      </c>
      <c r="D50" s="145" t="s">
        <v>127</v>
      </c>
      <c r="E50" s="4">
        <v>10689.0</v>
      </c>
      <c r="N50" s="14"/>
      <c r="O50" s="14"/>
    </row>
    <row r="51">
      <c r="A51" s="8">
        <v>8540.0</v>
      </c>
      <c r="B51" s="145" t="s">
        <v>89</v>
      </c>
      <c r="C51" s="145" t="s">
        <v>263</v>
      </c>
      <c r="D51" s="145" t="s">
        <v>127</v>
      </c>
      <c r="N51" s="14"/>
      <c r="O51" s="14"/>
    </row>
    <row r="52">
      <c r="A52" s="8">
        <v>9643.0</v>
      </c>
      <c r="B52" s="145" t="s">
        <v>39</v>
      </c>
      <c r="C52" s="145" t="s">
        <v>264</v>
      </c>
      <c r="D52" s="145" t="s">
        <v>127</v>
      </c>
      <c r="N52" s="14"/>
      <c r="O52" s="14"/>
    </row>
    <row r="53">
      <c r="A53" s="8">
        <v>2902.0</v>
      </c>
      <c r="B53" s="145" t="s">
        <v>40</v>
      </c>
      <c r="C53" s="145" t="s">
        <v>265</v>
      </c>
      <c r="D53" s="145" t="s">
        <v>127</v>
      </c>
      <c r="N53" s="14"/>
      <c r="O53" s="14"/>
    </row>
    <row r="54">
      <c r="A54" s="8">
        <v>2709.0</v>
      </c>
      <c r="B54" s="145" t="s">
        <v>90</v>
      </c>
      <c r="C54" s="145" t="s">
        <v>266</v>
      </c>
      <c r="D54" s="145" t="s">
        <v>127</v>
      </c>
      <c r="N54" s="14"/>
      <c r="O54" s="14"/>
    </row>
    <row r="55">
      <c r="A55" s="8">
        <v>3259.0</v>
      </c>
      <c r="B55" s="145" t="s">
        <v>43</v>
      </c>
      <c r="C55" s="145" t="s">
        <v>267</v>
      </c>
      <c r="D55" s="145" t="s">
        <v>127</v>
      </c>
      <c r="E55" s="4">
        <v>13393.0</v>
      </c>
      <c r="N55" s="14"/>
      <c r="O55" s="14"/>
    </row>
    <row r="56">
      <c r="A56" s="8">
        <v>5309.0</v>
      </c>
      <c r="B56" s="145" t="s">
        <v>45</v>
      </c>
      <c r="C56" s="145" t="s">
        <v>268</v>
      </c>
      <c r="D56" s="145" t="s">
        <v>127</v>
      </c>
      <c r="E56" s="4">
        <v>13252.0</v>
      </c>
      <c r="N56" s="14"/>
      <c r="O56" s="14"/>
    </row>
    <row r="57">
      <c r="A57" s="8">
        <v>2016.0</v>
      </c>
      <c r="B57" s="145" t="s">
        <v>48</v>
      </c>
      <c r="C57" s="145" t="s">
        <v>269</v>
      </c>
      <c r="D57" s="145" t="s">
        <v>127</v>
      </c>
      <c r="N57" s="14"/>
      <c r="O57" s="14"/>
    </row>
    <row r="58">
      <c r="A58" s="8">
        <v>3519.0</v>
      </c>
      <c r="B58" s="145" t="s">
        <v>91</v>
      </c>
      <c r="C58" s="145" t="s">
        <v>270</v>
      </c>
      <c r="D58" s="145" t="s">
        <v>127</v>
      </c>
      <c r="N58" s="14"/>
      <c r="O58" s="14"/>
    </row>
    <row r="59">
      <c r="A59" s="18">
        <f>SUM(A2:A58)</f>
        <v>327943</v>
      </c>
      <c r="G59" s="18"/>
    </row>
    <row r="60">
      <c r="G60" s="18"/>
    </row>
    <row r="61">
      <c r="G61" s="18"/>
    </row>
    <row r="62">
      <c r="A62" s="8">
        <f>ROUNDUP(4623,0)</f>
        <v>4623</v>
      </c>
      <c r="B62" s="145" t="s">
        <v>315</v>
      </c>
      <c r="C62" s="145" t="s">
        <v>283</v>
      </c>
      <c r="D62" s="145" t="s">
        <v>128</v>
      </c>
      <c r="F62" s="15" t="s">
        <v>253</v>
      </c>
      <c r="G62" s="20" t="s">
        <v>94</v>
      </c>
      <c r="H62" s="15" t="s">
        <v>0</v>
      </c>
      <c r="I62" s="15" t="s">
        <v>316</v>
      </c>
    </row>
    <row r="63">
      <c r="A63" s="8">
        <f>ROUNDUP(1729,0)</f>
        <v>1729</v>
      </c>
      <c r="B63" s="145" t="s">
        <v>19</v>
      </c>
      <c r="C63" s="145" t="s">
        <v>285</v>
      </c>
      <c r="D63" s="145" t="s">
        <v>128</v>
      </c>
      <c r="F63" s="17" t="s">
        <v>283</v>
      </c>
      <c r="G63" s="8" t="s">
        <v>57</v>
      </c>
      <c r="H63" s="17" t="s">
        <v>317</v>
      </c>
      <c r="I63" s="17">
        <v>500.0</v>
      </c>
      <c r="K63" s="17" t="s">
        <v>283</v>
      </c>
      <c r="L63" s="17" t="s">
        <v>57</v>
      </c>
      <c r="M63" s="17" t="s">
        <v>317</v>
      </c>
    </row>
    <row r="64">
      <c r="A64" s="8">
        <v>12496.0</v>
      </c>
      <c r="B64" s="145" t="s">
        <v>60</v>
      </c>
      <c r="C64" s="145" t="s">
        <v>281</v>
      </c>
      <c r="D64" s="145" t="s">
        <v>128</v>
      </c>
      <c r="F64" s="17" t="s">
        <v>285</v>
      </c>
      <c r="G64" s="8" t="s">
        <v>19</v>
      </c>
      <c r="H64" s="17" t="s">
        <v>317</v>
      </c>
      <c r="I64" s="17">
        <v>800.0</v>
      </c>
      <c r="K64" s="17" t="s">
        <v>285</v>
      </c>
      <c r="L64" s="17" t="s">
        <v>19</v>
      </c>
      <c r="M64" s="17" t="s">
        <v>317</v>
      </c>
    </row>
    <row r="65">
      <c r="A65" s="17">
        <v>967.0</v>
      </c>
      <c r="B65" s="145" t="s">
        <v>22</v>
      </c>
      <c r="C65" s="145" t="s">
        <v>288</v>
      </c>
      <c r="D65" s="145" t="s">
        <v>128</v>
      </c>
      <c r="F65" s="17" t="s">
        <v>281</v>
      </c>
      <c r="G65" s="8" t="s">
        <v>60</v>
      </c>
      <c r="H65" s="17" t="s">
        <v>317</v>
      </c>
      <c r="I65" s="17">
        <v>400.0</v>
      </c>
      <c r="K65" s="17" t="s">
        <v>281</v>
      </c>
      <c r="L65" s="17" t="s">
        <v>60</v>
      </c>
      <c r="M65" s="17" t="s">
        <v>317</v>
      </c>
    </row>
    <row r="66">
      <c r="A66" s="8">
        <v>7766.0</v>
      </c>
      <c r="B66" s="145" t="s">
        <v>61</v>
      </c>
      <c r="C66" s="145" t="s">
        <v>284</v>
      </c>
      <c r="D66" s="145" t="s">
        <v>128</v>
      </c>
      <c r="F66" s="17" t="s">
        <v>288</v>
      </c>
      <c r="G66" s="8" t="s">
        <v>22</v>
      </c>
      <c r="H66" s="17" t="s">
        <v>317</v>
      </c>
      <c r="I66" s="17">
        <v>500.0</v>
      </c>
      <c r="K66" s="17" t="s">
        <v>288</v>
      </c>
      <c r="L66" s="17" t="s">
        <v>22</v>
      </c>
      <c r="M66" s="17" t="s">
        <v>317</v>
      </c>
    </row>
    <row r="67">
      <c r="A67" s="8">
        <v>1924.0</v>
      </c>
      <c r="B67" s="145" t="s">
        <v>28</v>
      </c>
      <c r="C67" s="145" t="s">
        <v>292</v>
      </c>
      <c r="D67" s="145" t="s">
        <v>128</v>
      </c>
      <c r="F67" s="17" t="s">
        <v>284</v>
      </c>
      <c r="G67" s="8" t="s">
        <v>61</v>
      </c>
      <c r="H67" s="17" t="s">
        <v>317</v>
      </c>
      <c r="I67" s="17">
        <v>800.0</v>
      </c>
      <c r="K67" s="17" t="s">
        <v>284</v>
      </c>
      <c r="L67" s="17" t="s">
        <v>61</v>
      </c>
      <c r="M67" s="17" t="s">
        <v>317</v>
      </c>
    </row>
    <row r="68">
      <c r="A68" s="8">
        <v>2269.0</v>
      </c>
      <c r="B68" s="145" t="s">
        <v>31</v>
      </c>
      <c r="C68" s="145" t="s">
        <v>294</v>
      </c>
      <c r="D68" s="145" t="s">
        <v>128</v>
      </c>
      <c r="F68" s="17" t="s">
        <v>292</v>
      </c>
      <c r="G68" s="8" t="s">
        <v>28</v>
      </c>
      <c r="H68" s="17" t="s">
        <v>317</v>
      </c>
      <c r="I68" s="17">
        <v>500.0</v>
      </c>
      <c r="K68" s="17" t="s">
        <v>292</v>
      </c>
      <c r="L68" s="17" t="s">
        <v>28</v>
      </c>
      <c r="M68" s="17" t="s">
        <v>317</v>
      </c>
    </row>
    <row r="69">
      <c r="A69" s="8">
        <v>1330.0</v>
      </c>
      <c r="B69" s="145" t="s">
        <v>64</v>
      </c>
      <c r="C69" s="145" t="s">
        <v>287</v>
      </c>
      <c r="D69" s="145" t="s">
        <v>128</v>
      </c>
      <c r="F69" s="17" t="s">
        <v>294</v>
      </c>
      <c r="G69" s="8" t="s">
        <v>31</v>
      </c>
      <c r="H69" s="17" t="s">
        <v>317</v>
      </c>
      <c r="I69" s="17">
        <v>800.0</v>
      </c>
      <c r="K69" s="17" t="s">
        <v>294</v>
      </c>
      <c r="L69" s="17" t="s">
        <v>31</v>
      </c>
      <c r="M69" s="17" t="s">
        <v>317</v>
      </c>
    </row>
    <row r="70">
      <c r="A70" s="8">
        <v>2549.0</v>
      </c>
      <c r="B70" s="145" t="s">
        <v>33</v>
      </c>
      <c r="C70" s="145" t="s">
        <v>298</v>
      </c>
      <c r="D70" s="145" t="s">
        <v>128</v>
      </c>
      <c r="F70" s="17" t="s">
        <v>287</v>
      </c>
      <c r="G70" s="8" t="s">
        <v>318</v>
      </c>
      <c r="H70" s="17" t="s">
        <v>317</v>
      </c>
      <c r="I70" s="17">
        <v>200.0</v>
      </c>
      <c r="K70" s="17" t="s">
        <v>287</v>
      </c>
      <c r="L70" s="17" t="s">
        <v>318</v>
      </c>
      <c r="M70" s="17" t="s">
        <v>317</v>
      </c>
    </row>
    <row r="71">
      <c r="A71" s="8">
        <v>11369.0</v>
      </c>
      <c r="B71" s="145" t="s">
        <v>35</v>
      </c>
      <c r="C71" s="145" t="s">
        <v>299</v>
      </c>
      <c r="D71" s="145" t="s">
        <v>128</v>
      </c>
      <c r="F71" s="17" t="s">
        <v>298</v>
      </c>
      <c r="G71" s="8" t="s">
        <v>33</v>
      </c>
      <c r="H71" s="17" t="s">
        <v>317</v>
      </c>
      <c r="I71" s="17">
        <v>400.0</v>
      </c>
      <c r="K71" s="17" t="s">
        <v>298</v>
      </c>
      <c r="L71" s="17" t="s">
        <v>33</v>
      </c>
      <c r="M71" s="17" t="s">
        <v>317</v>
      </c>
    </row>
    <row r="72">
      <c r="A72" s="8">
        <v>2561.0</v>
      </c>
      <c r="B72" s="145" t="s">
        <v>36</v>
      </c>
      <c r="C72" s="145" t="s">
        <v>300</v>
      </c>
      <c r="D72" s="145" t="s">
        <v>128</v>
      </c>
      <c r="F72" s="17" t="s">
        <v>299</v>
      </c>
      <c r="G72" s="8" t="s">
        <v>35</v>
      </c>
      <c r="H72" s="17" t="s">
        <v>317</v>
      </c>
      <c r="I72" s="17">
        <v>400.0</v>
      </c>
      <c r="K72" s="17" t="s">
        <v>299</v>
      </c>
      <c r="L72" s="17" t="s">
        <v>35</v>
      </c>
      <c r="M72" s="17" t="s">
        <v>317</v>
      </c>
    </row>
    <row r="73">
      <c r="A73" s="8">
        <f>3105+208</f>
        <v>3313</v>
      </c>
      <c r="B73" s="145" t="s">
        <v>67</v>
      </c>
      <c r="C73" s="145" t="s">
        <v>302</v>
      </c>
      <c r="D73" s="145" t="s">
        <v>128</v>
      </c>
      <c r="F73" s="17" t="s">
        <v>300</v>
      </c>
      <c r="G73" s="8" t="s">
        <v>36</v>
      </c>
      <c r="H73" s="17" t="s">
        <v>317</v>
      </c>
      <c r="I73" s="17">
        <v>400.0</v>
      </c>
      <c r="K73" s="17" t="s">
        <v>300</v>
      </c>
      <c r="L73" s="17" t="s">
        <v>36</v>
      </c>
      <c r="M73" s="17" t="s">
        <v>317</v>
      </c>
    </row>
    <row r="74">
      <c r="A74" s="8">
        <v>3579.0</v>
      </c>
      <c r="B74" s="145" t="s">
        <v>37</v>
      </c>
      <c r="C74" s="145" t="s">
        <v>291</v>
      </c>
      <c r="D74" s="145" t="s">
        <v>128</v>
      </c>
      <c r="F74" s="17" t="s">
        <v>302</v>
      </c>
      <c r="G74" s="8" t="s">
        <v>67</v>
      </c>
      <c r="H74" s="17" t="s">
        <v>317</v>
      </c>
      <c r="I74" s="17">
        <v>400.0</v>
      </c>
      <c r="K74" s="17" t="s">
        <v>302</v>
      </c>
      <c r="L74" s="17" t="s">
        <v>67</v>
      </c>
      <c r="M74" s="17" t="s">
        <v>317</v>
      </c>
    </row>
    <row r="75">
      <c r="A75" s="8">
        <v>3692.0</v>
      </c>
      <c r="B75" s="145" t="s">
        <v>38</v>
      </c>
      <c r="C75" s="145" t="s">
        <v>303</v>
      </c>
      <c r="D75" s="145" t="s">
        <v>128</v>
      </c>
      <c r="F75" s="17" t="s">
        <v>291</v>
      </c>
      <c r="G75" s="8" t="s">
        <v>37</v>
      </c>
      <c r="H75" s="17" t="s">
        <v>317</v>
      </c>
      <c r="I75" s="17">
        <v>700.0</v>
      </c>
      <c r="K75" s="17" t="s">
        <v>291</v>
      </c>
      <c r="L75" s="17" t="s">
        <v>37</v>
      </c>
      <c r="M75" s="17" t="s">
        <v>317</v>
      </c>
    </row>
    <row r="76">
      <c r="A76" s="8">
        <v>4425.0</v>
      </c>
      <c r="B76" s="145" t="s">
        <v>41</v>
      </c>
      <c r="C76" s="145" t="s">
        <v>301</v>
      </c>
      <c r="D76" s="145" t="s">
        <v>128</v>
      </c>
      <c r="F76" s="17" t="s">
        <v>303</v>
      </c>
      <c r="G76" s="8" t="s">
        <v>38</v>
      </c>
      <c r="H76" s="17" t="s">
        <v>317</v>
      </c>
      <c r="I76" s="17">
        <v>800.0</v>
      </c>
      <c r="K76" s="17" t="s">
        <v>303</v>
      </c>
      <c r="L76" s="17" t="s">
        <v>38</v>
      </c>
      <c r="M76" s="17" t="s">
        <v>317</v>
      </c>
    </row>
    <row r="77">
      <c r="A77" s="8">
        <v>2672.0</v>
      </c>
      <c r="B77" s="145" t="s">
        <v>42</v>
      </c>
      <c r="C77" s="145" t="s">
        <v>289</v>
      </c>
      <c r="D77" s="145" t="s">
        <v>128</v>
      </c>
      <c r="F77" s="17" t="s">
        <v>301</v>
      </c>
      <c r="G77" s="8" t="s">
        <v>41</v>
      </c>
      <c r="H77" s="17" t="s">
        <v>317</v>
      </c>
      <c r="I77" s="17">
        <v>500.0</v>
      </c>
      <c r="K77" s="17" t="s">
        <v>301</v>
      </c>
      <c r="L77" s="17" t="s">
        <v>41</v>
      </c>
      <c r="M77" s="17" t="s">
        <v>317</v>
      </c>
    </row>
    <row r="78">
      <c r="A78" s="8">
        <v>6285.0</v>
      </c>
      <c r="B78" s="145" t="s">
        <v>71</v>
      </c>
      <c r="C78" s="145" t="s">
        <v>305</v>
      </c>
      <c r="D78" s="145" t="s">
        <v>128</v>
      </c>
      <c r="F78" s="17" t="s">
        <v>289</v>
      </c>
      <c r="G78" s="8" t="s">
        <v>42</v>
      </c>
      <c r="H78" s="17" t="s">
        <v>317</v>
      </c>
      <c r="I78" s="17">
        <v>350.0</v>
      </c>
      <c r="K78" s="17" t="s">
        <v>289</v>
      </c>
      <c r="L78" s="17" t="s">
        <v>42</v>
      </c>
      <c r="M78" s="17" t="s">
        <v>317</v>
      </c>
    </row>
    <row r="79">
      <c r="A79" s="8">
        <v>1826.0</v>
      </c>
      <c r="B79" s="145" t="s">
        <v>44</v>
      </c>
      <c r="C79" s="145" t="s">
        <v>295</v>
      </c>
      <c r="D79" s="145" t="s">
        <v>128</v>
      </c>
      <c r="F79" s="17" t="s">
        <v>305</v>
      </c>
      <c r="G79" s="8" t="s">
        <v>71</v>
      </c>
      <c r="H79" s="17" t="s">
        <v>317</v>
      </c>
      <c r="I79" s="17">
        <v>400.0</v>
      </c>
      <c r="K79" s="17" t="s">
        <v>305</v>
      </c>
      <c r="L79" s="17" t="s">
        <v>71</v>
      </c>
      <c r="M79" s="17" t="s">
        <v>317</v>
      </c>
    </row>
    <row r="80">
      <c r="A80" s="8">
        <v>1223.0</v>
      </c>
      <c r="B80" s="145" t="s">
        <v>46</v>
      </c>
      <c r="C80" s="145" t="s">
        <v>307</v>
      </c>
      <c r="D80" s="145" t="s">
        <v>128</v>
      </c>
      <c r="F80" s="17" t="s">
        <v>295</v>
      </c>
      <c r="G80" s="8" t="s">
        <v>44</v>
      </c>
      <c r="H80" s="17" t="s">
        <v>317</v>
      </c>
      <c r="I80" s="17">
        <v>400.0</v>
      </c>
      <c r="K80" s="17" t="s">
        <v>295</v>
      </c>
      <c r="L80" s="17" t="s">
        <v>44</v>
      </c>
      <c r="M80" s="17" t="s">
        <v>317</v>
      </c>
    </row>
    <row r="81">
      <c r="A81" s="8">
        <v>4675.0</v>
      </c>
      <c r="B81" s="145" t="s">
        <v>73</v>
      </c>
      <c r="C81" s="145" t="s">
        <v>276</v>
      </c>
      <c r="D81" s="145" t="s">
        <v>128</v>
      </c>
      <c r="F81" s="17" t="s">
        <v>307</v>
      </c>
      <c r="G81" s="8" t="s">
        <v>46</v>
      </c>
      <c r="H81" s="17" t="s">
        <v>317</v>
      </c>
      <c r="I81" s="17">
        <v>500.0</v>
      </c>
      <c r="K81" s="17" t="s">
        <v>307</v>
      </c>
      <c r="L81" s="17" t="s">
        <v>46</v>
      </c>
      <c r="M81" s="17" t="s">
        <v>317</v>
      </c>
    </row>
    <row r="82">
      <c r="A82" s="8">
        <v>3422.0</v>
      </c>
      <c r="B82" s="145" t="s">
        <v>47</v>
      </c>
      <c r="C82" s="145" t="s">
        <v>308</v>
      </c>
      <c r="D82" s="145" t="s">
        <v>128</v>
      </c>
      <c r="F82" s="17" t="s">
        <v>276</v>
      </c>
      <c r="G82" s="8" t="s">
        <v>73</v>
      </c>
      <c r="H82" s="17" t="s">
        <v>317</v>
      </c>
      <c r="I82" s="17">
        <v>600.0</v>
      </c>
      <c r="K82" s="17" t="s">
        <v>276</v>
      </c>
      <c r="L82" s="17" t="s">
        <v>73</v>
      </c>
      <c r="M82" s="17" t="s">
        <v>317</v>
      </c>
    </row>
    <row r="83">
      <c r="A83" s="8">
        <v>4287.0</v>
      </c>
      <c r="B83" s="145" t="s">
        <v>75</v>
      </c>
      <c r="C83" s="145" t="s">
        <v>286</v>
      </c>
      <c r="D83" s="145" t="s">
        <v>128</v>
      </c>
      <c r="F83" s="17" t="s">
        <v>308</v>
      </c>
      <c r="G83" s="8" t="s">
        <v>47</v>
      </c>
      <c r="H83" s="17" t="s">
        <v>317</v>
      </c>
      <c r="I83" s="17">
        <v>500.0</v>
      </c>
      <c r="K83" s="17" t="s">
        <v>308</v>
      </c>
      <c r="L83" s="17" t="s">
        <v>47</v>
      </c>
      <c r="M83" s="17" t="s">
        <v>317</v>
      </c>
    </row>
    <row r="84">
      <c r="A84" s="8">
        <v>3554.0</v>
      </c>
      <c r="B84" s="145" t="s">
        <v>49</v>
      </c>
      <c r="C84" s="145" t="s">
        <v>309</v>
      </c>
      <c r="D84" s="145" t="s">
        <v>128</v>
      </c>
      <c r="F84" s="17" t="s">
        <v>286</v>
      </c>
      <c r="G84" s="8" t="s">
        <v>75</v>
      </c>
      <c r="H84" s="17" t="s">
        <v>317</v>
      </c>
      <c r="I84" s="17">
        <v>800.0</v>
      </c>
      <c r="K84" s="17" t="s">
        <v>286</v>
      </c>
      <c r="L84" s="17" t="s">
        <v>75</v>
      </c>
      <c r="M84" s="17" t="s">
        <v>317</v>
      </c>
    </row>
    <row r="85">
      <c r="A85" s="8">
        <v>3964.0</v>
      </c>
      <c r="B85" s="147" t="s">
        <v>86</v>
      </c>
      <c r="C85" s="145" t="s">
        <v>311</v>
      </c>
      <c r="D85" s="145" t="s">
        <v>128</v>
      </c>
      <c r="F85" s="17" t="s">
        <v>309</v>
      </c>
      <c r="G85" s="8" t="s">
        <v>49</v>
      </c>
      <c r="H85" s="17" t="s">
        <v>317</v>
      </c>
      <c r="I85" s="17">
        <v>500.0</v>
      </c>
      <c r="K85" s="17" t="s">
        <v>309</v>
      </c>
      <c r="L85" s="17" t="s">
        <v>49</v>
      </c>
      <c r="M85" s="17" t="s">
        <v>317</v>
      </c>
    </row>
    <row r="86">
      <c r="A86" s="8">
        <v>1169.0</v>
      </c>
      <c r="B86" s="145" t="s">
        <v>50</v>
      </c>
      <c r="C86" s="145" t="s">
        <v>304</v>
      </c>
      <c r="D86" s="145" t="s">
        <v>128</v>
      </c>
      <c r="F86" s="17" t="s">
        <v>311</v>
      </c>
      <c r="G86" s="8" t="s">
        <v>86</v>
      </c>
      <c r="H86" s="17" t="s">
        <v>317</v>
      </c>
      <c r="I86" s="17">
        <v>1000.0</v>
      </c>
      <c r="K86" s="17" t="s">
        <v>311</v>
      </c>
      <c r="L86" s="17" t="s">
        <v>86</v>
      </c>
      <c r="M86" s="17" t="s">
        <v>317</v>
      </c>
    </row>
    <row r="87">
      <c r="A87" s="8">
        <f>2842+3</f>
        <v>2845</v>
      </c>
      <c r="B87" s="147" t="s">
        <v>82</v>
      </c>
      <c r="C87" s="145" t="s">
        <v>310</v>
      </c>
      <c r="D87" s="145" t="s">
        <v>128</v>
      </c>
      <c r="F87" s="17" t="s">
        <v>304</v>
      </c>
      <c r="G87" s="8" t="s">
        <v>50</v>
      </c>
      <c r="H87" s="17" t="s">
        <v>317</v>
      </c>
      <c r="I87" s="17">
        <v>400.0</v>
      </c>
      <c r="K87" s="17" t="s">
        <v>304</v>
      </c>
      <c r="L87" s="17" t="s">
        <v>50</v>
      </c>
      <c r="M87" s="17" t="s">
        <v>317</v>
      </c>
    </row>
    <row r="88">
      <c r="A88" s="8">
        <v>1978.0</v>
      </c>
      <c r="B88" s="145" t="s">
        <v>51</v>
      </c>
      <c r="C88" s="145" t="s">
        <v>306</v>
      </c>
      <c r="D88" s="145" t="s">
        <v>128</v>
      </c>
      <c r="F88" s="17" t="s">
        <v>310</v>
      </c>
      <c r="G88" s="8" t="s">
        <v>82</v>
      </c>
      <c r="H88" s="17" t="s">
        <v>317</v>
      </c>
      <c r="I88" s="17">
        <v>400.0</v>
      </c>
      <c r="K88" s="17" t="s">
        <v>310</v>
      </c>
      <c r="L88" s="17" t="s">
        <v>82</v>
      </c>
      <c r="M88" s="17" t="s">
        <v>317</v>
      </c>
    </row>
    <row r="89">
      <c r="A89" s="148">
        <v>2088.0</v>
      </c>
      <c r="B89" s="147" t="s">
        <v>52</v>
      </c>
      <c r="C89" s="145" t="s">
        <v>312</v>
      </c>
      <c r="D89" s="145" t="s">
        <v>128</v>
      </c>
      <c r="F89" s="17" t="s">
        <v>306</v>
      </c>
      <c r="G89" s="8" t="s">
        <v>51</v>
      </c>
      <c r="H89" s="17" t="s">
        <v>317</v>
      </c>
      <c r="I89" s="17">
        <v>400.0</v>
      </c>
      <c r="K89" s="17" t="s">
        <v>306</v>
      </c>
      <c r="L89" s="17" t="s">
        <v>51</v>
      </c>
      <c r="M89" s="17" t="s">
        <v>317</v>
      </c>
    </row>
    <row r="90">
      <c r="A90" s="8">
        <v>3785.0</v>
      </c>
      <c r="B90" s="145" t="s">
        <v>53</v>
      </c>
      <c r="C90" s="145" t="s">
        <v>313</v>
      </c>
      <c r="D90" s="145" t="s">
        <v>128</v>
      </c>
      <c r="F90" s="17" t="s">
        <v>312</v>
      </c>
      <c r="G90" s="8" t="s">
        <v>52</v>
      </c>
      <c r="H90" s="17" t="s">
        <v>317</v>
      </c>
      <c r="I90" s="17">
        <v>800.0</v>
      </c>
      <c r="K90" s="17" t="s">
        <v>312</v>
      </c>
      <c r="L90" s="17" t="s">
        <v>52</v>
      </c>
      <c r="M90" s="17" t="s">
        <v>317</v>
      </c>
    </row>
    <row r="91">
      <c r="A91" s="8">
        <v>2181.0</v>
      </c>
      <c r="B91" s="147" t="s">
        <v>54</v>
      </c>
      <c r="C91" s="145" t="s">
        <v>293</v>
      </c>
      <c r="D91" s="145" t="s">
        <v>128</v>
      </c>
      <c r="F91" s="17" t="s">
        <v>313</v>
      </c>
      <c r="G91" s="8" t="s">
        <v>53</v>
      </c>
      <c r="H91" s="17" t="s">
        <v>317</v>
      </c>
      <c r="I91" s="17">
        <v>500.0</v>
      </c>
      <c r="K91" s="17" t="s">
        <v>313</v>
      </c>
      <c r="L91" s="17" t="s">
        <v>53</v>
      </c>
      <c r="M91" s="17" t="s">
        <v>317</v>
      </c>
    </row>
    <row r="92">
      <c r="A92" s="8">
        <v>2724.0</v>
      </c>
      <c r="B92" s="145" t="s">
        <v>25</v>
      </c>
      <c r="C92" s="145" t="s">
        <v>259</v>
      </c>
      <c r="D92" s="145" t="s">
        <v>127</v>
      </c>
      <c r="F92" s="17" t="s">
        <v>293</v>
      </c>
      <c r="G92" s="8" t="s">
        <v>54</v>
      </c>
      <c r="H92" s="17" t="s">
        <v>317</v>
      </c>
      <c r="I92" s="17">
        <v>700.0</v>
      </c>
      <c r="K92" s="17" t="s">
        <v>293</v>
      </c>
      <c r="L92" s="17" t="s">
        <v>54</v>
      </c>
      <c r="M92" s="17" t="s">
        <v>317</v>
      </c>
    </row>
    <row r="93">
      <c r="A93" s="8">
        <v>5783.0</v>
      </c>
      <c r="B93" s="145" t="s">
        <v>88</v>
      </c>
      <c r="C93" s="145" t="s">
        <v>260</v>
      </c>
      <c r="D93" s="145" t="s">
        <v>127</v>
      </c>
      <c r="F93" s="17" t="s">
        <v>259</v>
      </c>
      <c r="G93" s="8" t="s">
        <v>25</v>
      </c>
      <c r="H93" s="17" t="s">
        <v>127</v>
      </c>
      <c r="I93" s="17">
        <v>200.0</v>
      </c>
      <c r="K93" s="17" t="s">
        <v>259</v>
      </c>
      <c r="L93" s="17" t="s">
        <v>25</v>
      </c>
      <c r="M93" s="17" t="s">
        <v>127</v>
      </c>
    </row>
    <row r="94">
      <c r="A94" s="8">
        <v>2871.0</v>
      </c>
      <c r="B94" s="145" t="s">
        <v>32</v>
      </c>
      <c r="C94" s="145" t="s">
        <v>261</v>
      </c>
      <c r="D94" s="145" t="s">
        <v>127</v>
      </c>
      <c r="F94" s="17" t="s">
        <v>260</v>
      </c>
      <c r="G94" s="8" t="s">
        <v>88</v>
      </c>
      <c r="H94" s="17" t="s">
        <v>127</v>
      </c>
      <c r="I94" s="17">
        <v>400.0</v>
      </c>
      <c r="K94" s="17" t="s">
        <v>260</v>
      </c>
      <c r="L94" s="17" t="s">
        <v>88</v>
      </c>
      <c r="M94" s="17" t="s">
        <v>127</v>
      </c>
    </row>
    <row r="95">
      <c r="A95" s="8">
        <v>8017.0</v>
      </c>
      <c r="B95" s="145" t="s">
        <v>34</v>
      </c>
      <c r="C95" s="145" t="s">
        <v>262</v>
      </c>
      <c r="D95" s="145" t="s">
        <v>127</v>
      </c>
      <c r="F95" s="17" t="s">
        <v>261</v>
      </c>
      <c r="G95" s="8" t="s">
        <v>32</v>
      </c>
      <c r="H95" s="17" t="s">
        <v>127</v>
      </c>
      <c r="I95" s="17">
        <v>600.0</v>
      </c>
      <c r="K95" s="17" t="s">
        <v>261</v>
      </c>
      <c r="L95" s="17" t="s">
        <v>32</v>
      </c>
      <c r="M95" s="17" t="s">
        <v>127</v>
      </c>
    </row>
    <row r="96">
      <c r="A96" s="8">
        <v>8540.0</v>
      </c>
      <c r="B96" s="145" t="s">
        <v>89</v>
      </c>
      <c r="C96" s="145" t="s">
        <v>263</v>
      </c>
      <c r="D96" s="145" t="s">
        <v>127</v>
      </c>
      <c r="F96" s="17" t="s">
        <v>262</v>
      </c>
      <c r="G96" s="8" t="s">
        <v>34</v>
      </c>
      <c r="H96" s="17" t="s">
        <v>127</v>
      </c>
      <c r="I96" s="17">
        <v>1120.0</v>
      </c>
      <c r="K96" s="17" t="s">
        <v>262</v>
      </c>
      <c r="L96" s="17" t="s">
        <v>34</v>
      </c>
      <c r="M96" s="17" t="s">
        <v>127</v>
      </c>
    </row>
    <row r="97">
      <c r="A97" s="8">
        <v>9643.0</v>
      </c>
      <c r="B97" s="145" t="s">
        <v>39</v>
      </c>
      <c r="C97" s="145" t="s">
        <v>264</v>
      </c>
      <c r="D97" s="145" t="s">
        <v>127</v>
      </c>
      <c r="F97" s="17" t="s">
        <v>263</v>
      </c>
      <c r="G97" s="8" t="s">
        <v>89</v>
      </c>
      <c r="H97" s="17" t="s">
        <v>127</v>
      </c>
      <c r="I97" s="17">
        <v>1240.0</v>
      </c>
      <c r="K97" s="17" t="s">
        <v>263</v>
      </c>
      <c r="L97" s="17" t="s">
        <v>89</v>
      </c>
      <c r="M97" s="17" t="s">
        <v>127</v>
      </c>
    </row>
    <row r="98">
      <c r="A98" s="8">
        <v>2902.0</v>
      </c>
      <c r="B98" s="145" t="s">
        <v>40</v>
      </c>
      <c r="C98" s="145" t="s">
        <v>265</v>
      </c>
      <c r="D98" s="145" t="s">
        <v>127</v>
      </c>
      <c r="F98" s="17" t="s">
        <v>264</v>
      </c>
      <c r="G98" s="8" t="s">
        <v>39</v>
      </c>
      <c r="H98" s="17" t="s">
        <v>127</v>
      </c>
      <c r="I98" s="17">
        <v>320.0</v>
      </c>
      <c r="K98" s="17" t="s">
        <v>264</v>
      </c>
      <c r="L98" s="17" t="s">
        <v>39</v>
      </c>
      <c r="M98" s="17" t="s">
        <v>127</v>
      </c>
    </row>
    <row r="99">
      <c r="A99" s="8">
        <v>2709.0</v>
      </c>
      <c r="B99" s="145" t="s">
        <v>90</v>
      </c>
      <c r="C99" s="145" t="s">
        <v>266</v>
      </c>
      <c r="D99" s="145" t="s">
        <v>127</v>
      </c>
      <c r="F99" s="17" t="s">
        <v>265</v>
      </c>
      <c r="G99" s="8" t="s">
        <v>40</v>
      </c>
      <c r="H99" s="17" t="s">
        <v>127</v>
      </c>
      <c r="I99" s="17">
        <v>400.0</v>
      </c>
      <c r="K99" s="17" t="s">
        <v>265</v>
      </c>
      <c r="L99" s="17" t="s">
        <v>40</v>
      </c>
      <c r="M99" s="17" t="s">
        <v>127</v>
      </c>
    </row>
    <row r="100">
      <c r="A100" s="8">
        <v>3259.0</v>
      </c>
      <c r="B100" s="145" t="s">
        <v>43</v>
      </c>
      <c r="C100" s="145" t="s">
        <v>267</v>
      </c>
      <c r="D100" s="145" t="s">
        <v>127</v>
      </c>
      <c r="F100" s="17" t="s">
        <v>266</v>
      </c>
      <c r="G100" s="8" t="s">
        <v>90</v>
      </c>
      <c r="H100" s="17" t="s">
        <v>127</v>
      </c>
      <c r="I100" s="17">
        <v>960.0</v>
      </c>
      <c r="K100" s="17" t="s">
        <v>266</v>
      </c>
      <c r="L100" s="17" t="s">
        <v>90</v>
      </c>
      <c r="M100" s="17" t="s">
        <v>127</v>
      </c>
    </row>
    <row r="101">
      <c r="A101" s="8">
        <v>5309.0</v>
      </c>
      <c r="B101" s="145" t="s">
        <v>45</v>
      </c>
      <c r="C101" s="145" t="s">
        <v>268</v>
      </c>
      <c r="D101" s="145" t="s">
        <v>127</v>
      </c>
      <c r="F101" s="17" t="s">
        <v>267</v>
      </c>
      <c r="G101" s="8" t="s">
        <v>43</v>
      </c>
      <c r="H101" s="17" t="s">
        <v>127</v>
      </c>
      <c r="I101" s="17">
        <v>1640.0</v>
      </c>
      <c r="K101" s="17" t="s">
        <v>267</v>
      </c>
      <c r="L101" s="17" t="s">
        <v>43</v>
      </c>
      <c r="M101" s="17" t="s">
        <v>127</v>
      </c>
    </row>
    <row r="102">
      <c r="A102" s="8">
        <v>2016.0</v>
      </c>
      <c r="B102" s="145" t="s">
        <v>48</v>
      </c>
      <c r="C102" s="145" t="s">
        <v>269</v>
      </c>
      <c r="D102" s="145" t="s">
        <v>127</v>
      </c>
      <c r="F102" s="17" t="s">
        <v>268</v>
      </c>
      <c r="G102" s="8" t="s">
        <v>45</v>
      </c>
      <c r="H102" s="17" t="s">
        <v>127</v>
      </c>
      <c r="I102" s="17">
        <v>1480.0</v>
      </c>
      <c r="K102" s="17" t="s">
        <v>268</v>
      </c>
      <c r="L102" s="17" t="s">
        <v>45</v>
      </c>
      <c r="M102" s="17" t="s">
        <v>127</v>
      </c>
    </row>
    <row r="103">
      <c r="A103" s="8">
        <v>3519.0</v>
      </c>
      <c r="B103" s="145" t="s">
        <v>91</v>
      </c>
      <c r="C103" s="145" t="s">
        <v>270</v>
      </c>
      <c r="D103" s="145" t="s">
        <v>127</v>
      </c>
      <c r="F103" s="17" t="s">
        <v>269</v>
      </c>
      <c r="G103" s="8" t="s">
        <v>48</v>
      </c>
      <c r="H103" s="17" t="s">
        <v>127</v>
      </c>
      <c r="I103" s="17">
        <v>800.0</v>
      </c>
      <c r="K103" s="17" t="s">
        <v>269</v>
      </c>
      <c r="L103" s="17" t="s">
        <v>48</v>
      </c>
      <c r="M103" s="17" t="s">
        <v>127</v>
      </c>
    </row>
    <row r="104">
      <c r="F104" s="17" t="s">
        <v>270</v>
      </c>
      <c r="G104" s="8" t="s">
        <v>91</v>
      </c>
      <c r="H104" s="17" t="s">
        <v>127</v>
      </c>
      <c r="I104" s="17">
        <v>320.0</v>
      </c>
      <c r="K104" s="17" t="s">
        <v>270</v>
      </c>
      <c r="L104" s="17" t="s">
        <v>91</v>
      </c>
      <c r="M104" s="17" t="s">
        <v>127</v>
      </c>
    </row>
    <row r="105">
      <c r="G105" s="18"/>
    </row>
    <row r="106">
      <c r="G106" s="18"/>
    </row>
    <row r="107">
      <c r="G107" s="18"/>
    </row>
    <row r="108">
      <c r="G108" s="18"/>
    </row>
    <row r="109">
      <c r="G109" s="18"/>
    </row>
    <row r="110">
      <c r="G110" s="18"/>
    </row>
    <row r="111">
      <c r="G111" s="18"/>
    </row>
    <row r="112">
      <c r="G112" s="18"/>
    </row>
    <row r="113">
      <c r="G113" s="18"/>
    </row>
    <row r="114">
      <c r="G114" s="18"/>
    </row>
    <row r="115">
      <c r="G115" s="18"/>
    </row>
    <row r="116">
      <c r="G116" s="18"/>
    </row>
    <row r="117">
      <c r="G117" s="18"/>
    </row>
    <row r="118">
      <c r="G118" s="18"/>
    </row>
    <row r="119">
      <c r="G119" s="18"/>
    </row>
    <row r="120">
      <c r="G120" s="18"/>
    </row>
    <row r="121">
      <c r="G121" s="18"/>
    </row>
    <row r="122">
      <c r="G122" s="18"/>
    </row>
    <row r="123">
      <c r="G123" s="18"/>
    </row>
    <row r="124">
      <c r="G124" s="18"/>
    </row>
    <row r="125">
      <c r="G125" s="18"/>
    </row>
    <row r="126">
      <c r="G126" s="18"/>
    </row>
    <row r="127">
      <c r="G127" s="18"/>
    </row>
    <row r="128">
      <c r="G128" s="18"/>
    </row>
    <row r="129">
      <c r="G129" s="18"/>
    </row>
    <row r="130">
      <c r="G130" s="18"/>
    </row>
    <row r="131">
      <c r="G131" s="18"/>
    </row>
    <row r="132">
      <c r="G132" s="18"/>
    </row>
    <row r="133">
      <c r="G133" s="18"/>
    </row>
    <row r="134">
      <c r="G134" s="18"/>
    </row>
    <row r="135">
      <c r="G135" s="18"/>
    </row>
    <row r="136">
      <c r="G136" s="18"/>
    </row>
    <row r="137">
      <c r="G137" s="18"/>
    </row>
    <row r="138">
      <c r="G138" s="18"/>
    </row>
    <row r="139">
      <c r="G139" s="18"/>
    </row>
    <row r="140">
      <c r="G140" s="18"/>
    </row>
    <row r="141">
      <c r="G141" s="18"/>
    </row>
    <row r="142">
      <c r="G142" s="18"/>
    </row>
    <row r="143">
      <c r="G143" s="18"/>
    </row>
    <row r="144">
      <c r="G144" s="18"/>
    </row>
    <row r="145">
      <c r="G145" s="18"/>
    </row>
    <row r="146">
      <c r="G146" s="18"/>
    </row>
    <row r="147">
      <c r="G147" s="18"/>
    </row>
    <row r="148">
      <c r="G148" s="18"/>
    </row>
    <row r="149">
      <c r="G149" s="18"/>
    </row>
    <row r="150">
      <c r="G150" s="18"/>
    </row>
    <row r="151">
      <c r="G151" s="18"/>
    </row>
    <row r="152">
      <c r="G152" s="18"/>
    </row>
    <row r="153">
      <c r="G153" s="18"/>
    </row>
    <row r="154">
      <c r="G154" s="18"/>
    </row>
    <row r="155">
      <c r="G155" s="18"/>
    </row>
    <row r="156">
      <c r="G156" s="18"/>
    </row>
    <row r="157">
      <c r="G157" s="18"/>
    </row>
    <row r="158">
      <c r="G158" s="18"/>
    </row>
    <row r="159">
      <c r="G159" s="18"/>
    </row>
    <row r="160">
      <c r="G160" s="18"/>
    </row>
    <row r="161">
      <c r="G161" s="18"/>
    </row>
    <row r="162">
      <c r="G162" s="18"/>
    </row>
    <row r="163">
      <c r="G163" s="18"/>
    </row>
    <row r="164">
      <c r="G164" s="18"/>
    </row>
    <row r="165">
      <c r="G165" s="18"/>
    </row>
    <row r="166">
      <c r="G166" s="18"/>
    </row>
    <row r="167">
      <c r="G167" s="18"/>
    </row>
    <row r="168">
      <c r="G168" s="18"/>
    </row>
    <row r="169">
      <c r="G169" s="18"/>
    </row>
    <row r="170">
      <c r="G170" s="18"/>
    </row>
    <row r="171">
      <c r="G171" s="18"/>
    </row>
    <row r="172">
      <c r="G172" s="18"/>
    </row>
    <row r="173">
      <c r="G173" s="18"/>
    </row>
    <row r="174">
      <c r="G174" s="18"/>
    </row>
    <row r="175">
      <c r="G175" s="18"/>
    </row>
    <row r="176">
      <c r="G176" s="18"/>
    </row>
    <row r="177">
      <c r="G177" s="18"/>
    </row>
    <row r="178">
      <c r="G178" s="18"/>
    </row>
    <row r="179">
      <c r="G179" s="18"/>
    </row>
    <row r="180">
      <c r="G180" s="18"/>
    </row>
    <row r="181">
      <c r="G181" s="18"/>
    </row>
    <row r="182">
      <c r="G182" s="18"/>
    </row>
    <row r="183">
      <c r="G183" s="18"/>
    </row>
    <row r="184">
      <c r="G184" s="18"/>
    </row>
    <row r="185">
      <c r="G185" s="18"/>
    </row>
    <row r="186">
      <c r="G186" s="18"/>
    </row>
    <row r="187">
      <c r="G187" s="18"/>
    </row>
    <row r="188">
      <c r="G188" s="18"/>
    </row>
    <row r="189">
      <c r="G189" s="18"/>
    </row>
    <row r="190">
      <c r="G190" s="18"/>
    </row>
    <row r="191">
      <c r="G191" s="18"/>
    </row>
    <row r="192">
      <c r="G192" s="18"/>
    </row>
    <row r="193">
      <c r="G193" s="18"/>
    </row>
    <row r="194">
      <c r="G194" s="18"/>
    </row>
    <row r="195">
      <c r="G195" s="18"/>
    </row>
    <row r="196">
      <c r="G196" s="18"/>
    </row>
    <row r="197">
      <c r="G197" s="18"/>
    </row>
    <row r="198">
      <c r="G198" s="18"/>
    </row>
    <row r="199">
      <c r="G199" s="18"/>
    </row>
    <row r="200">
      <c r="G200" s="18"/>
    </row>
    <row r="201">
      <c r="G201" s="18"/>
    </row>
    <row r="202">
      <c r="G202" s="18"/>
    </row>
    <row r="203">
      <c r="G203" s="18"/>
    </row>
    <row r="204">
      <c r="G204" s="18"/>
    </row>
    <row r="205">
      <c r="G205" s="18"/>
    </row>
    <row r="206">
      <c r="G206" s="18"/>
    </row>
    <row r="207">
      <c r="G207" s="18"/>
    </row>
    <row r="208">
      <c r="G208" s="18"/>
    </row>
    <row r="209">
      <c r="G209" s="18"/>
    </row>
    <row r="210">
      <c r="G210" s="18"/>
    </row>
    <row r="211">
      <c r="G211" s="18"/>
    </row>
    <row r="212">
      <c r="G212" s="18"/>
    </row>
    <row r="213">
      <c r="G213" s="18"/>
    </row>
    <row r="214">
      <c r="G214" s="18"/>
    </row>
    <row r="215">
      <c r="G215" s="18"/>
    </row>
    <row r="216">
      <c r="G216" s="18"/>
    </row>
    <row r="217">
      <c r="G217" s="18"/>
    </row>
    <row r="218">
      <c r="G218" s="18"/>
    </row>
    <row r="219">
      <c r="G219" s="18"/>
    </row>
    <row r="220">
      <c r="G220" s="18"/>
    </row>
    <row r="221">
      <c r="G221" s="18"/>
    </row>
    <row r="222">
      <c r="G222" s="18"/>
    </row>
    <row r="223">
      <c r="G223" s="18"/>
    </row>
    <row r="224">
      <c r="G224" s="18"/>
    </row>
    <row r="225">
      <c r="G225" s="18"/>
    </row>
    <row r="226">
      <c r="G226" s="18"/>
    </row>
    <row r="227">
      <c r="G227" s="18"/>
    </row>
    <row r="228">
      <c r="G228" s="18"/>
    </row>
    <row r="229">
      <c r="G229" s="18"/>
    </row>
    <row r="230">
      <c r="G230" s="18"/>
    </row>
    <row r="231">
      <c r="G231" s="18"/>
    </row>
    <row r="232">
      <c r="G232" s="18"/>
    </row>
    <row r="233">
      <c r="G233" s="18"/>
    </row>
    <row r="234">
      <c r="G234" s="18"/>
    </row>
    <row r="235">
      <c r="G235" s="18"/>
    </row>
    <row r="236">
      <c r="G236" s="18"/>
    </row>
    <row r="237">
      <c r="G237" s="18"/>
    </row>
    <row r="238">
      <c r="G238" s="18"/>
    </row>
    <row r="239">
      <c r="G239" s="18"/>
    </row>
    <row r="240">
      <c r="G240" s="18"/>
    </row>
    <row r="241">
      <c r="G241" s="18"/>
    </row>
    <row r="242">
      <c r="G242" s="18"/>
    </row>
    <row r="243">
      <c r="G243" s="18"/>
    </row>
    <row r="244">
      <c r="G244" s="18"/>
    </row>
    <row r="245">
      <c r="G245" s="18"/>
    </row>
    <row r="246">
      <c r="G246" s="18"/>
    </row>
    <row r="247">
      <c r="G247" s="18"/>
    </row>
    <row r="248">
      <c r="G248" s="18"/>
    </row>
    <row r="249">
      <c r="G249" s="18"/>
    </row>
    <row r="250">
      <c r="G250" s="18"/>
    </row>
    <row r="251">
      <c r="G251" s="18"/>
    </row>
    <row r="252">
      <c r="G252" s="18"/>
    </row>
    <row r="253">
      <c r="G253" s="18"/>
    </row>
    <row r="254">
      <c r="G254" s="18"/>
    </row>
    <row r="255">
      <c r="G255" s="18"/>
    </row>
    <row r="256">
      <c r="G256" s="18"/>
    </row>
    <row r="257">
      <c r="G257" s="18"/>
    </row>
    <row r="258">
      <c r="G258" s="18"/>
    </row>
    <row r="259">
      <c r="G259" s="18"/>
    </row>
    <row r="260">
      <c r="G260" s="18"/>
    </row>
    <row r="261">
      <c r="G261" s="18"/>
    </row>
    <row r="262">
      <c r="G262" s="18"/>
    </row>
    <row r="263">
      <c r="G263" s="18"/>
    </row>
    <row r="264">
      <c r="G264" s="18"/>
    </row>
    <row r="265">
      <c r="G265" s="18"/>
    </row>
    <row r="266">
      <c r="G266" s="18"/>
    </row>
    <row r="267">
      <c r="G267" s="18"/>
    </row>
    <row r="268">
      <c r="G268" s="18"/>
    </row>
    <row r="269">
      <c r="G269" s="18"/>
    </row>
    <row r="270">
      <c r="G270" s="18"/>
    </row>
    <row r="271">
      <c r="G271" s="18"/>
    </row>
    <row r="272">
      <c r="G272" s="18"/>
    </row>
    <row r="273">
      <c r="G273" s="18"/>
    </row>
    <row r="274">
      <c r="G274" s="18"/>
    </row>
    <row r="275">
      <c r="G275" s="18"/>
    </row>
    <row r="276">
      <c r="G276" s="18"/>
    </row>
    <row r="277">
      <c r="G277" s="18"/>
    </row>
    <row r="278">
      <c r="G278" s="18"/>
    </row>
    <row r="279">
      <c r="G279" s="18"/>
    </row>
    <row r="280">
      <c r="G280" s="18"/>
    </row>
    <row r="281">
      <c r="G281" s="18"/>
    </row>
    <row r="282">
      <c r="G282" s="18"/>
    </row>
    <row r="283">
      <c r="G283" s="18"/>
    </row>
    <row r="284">
      <c r="G284" s="18"/>
    </row>
    <row r="285">
      <c r="G285" s="18"/>
    </row>
    <row r="286">
      <c r="G286" s="18"/>
    </row>
    <row r="287">
      <c r="G287" s="18"/>
    </row>
    <row r="288">
      <c r="G288" s="18"/>
    </row>
    <row r="289">
      <c r="G289" s="18"/>
    </row>
    <row r="290">
      <c r="G290" s="18"/>
    </row>
    <row r="291">
      <c r="G291" s="18"/>
    </row>
    <row r="292">
      <c r="G292" s="18"/>
    </row>
    <row r="293">
      <c r="G293" s="18"/>
    </row>
    <row r="294">
      <c r="G294" s="18"/>
    </row>
    <row r="295">
      <c r="G295" s="18"/>
    </row>
    <row r="296">
      <c r="G296" s="18"/>
    </row>
    <row r="297">
      <c r="G297" s="18"/>
    </row>
    <row r="298">
      <c r="G298" s="18"/>
    </row>
    <row r="299">
      <c r="G299" s="18"/>
    </row>
    <row r="300">
      <c r="G300" s="18"/>
    </row>
    <row r="301">
      <c r="G301" s="18"/>
    </row>
    <row r="302">
      <c r="G302" s="18"/>
    </row>
    <row r="303">
      <c r="G303" s="18"/>
    </row>
    <row r="304">
      <c r="G304" s="18"/>
    </row>
    <row r="305">
      <c r="G305" s="18"/>
    </row>
    <row r="306">
      <c r="G306" s="18"/>
    </row>
    <row r="307">
      <c r="G307" s="18"/>
    </row>
    <row r="308">
      <c r="G308" s="18"/>
    </row>
    <row r="309">
      <c r="G309" s="18"/>
    </row>
    <row r="310">
      <c r="G310" s="18"/>
    </row>
    <row r="311">
      <c r="G311" s="18"/>
    </row>
    <row r="312">
      <c r="G312" s="18"/>
    </row>
    <row r="313">
      <c r="G313" s="18"/>
    </row>
    <row r="314">
      <c r="G314" s="18"/>
    </row>
    <row r="315">
      <c r="G315" s="18"/>
    </row>
    <row r="316">
      <c r="G316" s="18"/>
    </row>
    <row r="317">
      <c r="G317" s="18"/>
    </row>
    <row r="318">
      <c r="G318" s="18"/>
    </row>
    <row r="319">
      <c r="G319" s="18"/>
    </row>
    <row r="320">
      <c r="G320" s="18"/>
    </row>
    <row r="321">
      <c r="G321" s="18"/>
    </row>
    <row r="322">
      <c r="G322" s="18"/>
    </row>
    <row r="323">
      <c r="G323" s="18"/>
    </row>
    <row r="324">
      <c r="G324" s="18"/>
    </row>
    <row r="325">
      <c r="G325" s="18"/>
    </row>
    <row r="326">
      <c r="G326" s="18"/>
    </row>
    <row r="327">
      <c r="G327" s="18"/>
    </row>
    <row r="328">
      <c r="G328" s="18"/>
    </row>
    <row r="329">
      <c r="G329" s="18"/>
    </row>
    <row r="330">
      <c r="G330" s="18"/>
    </row>
    <row r="331">
      <c r="G331" s="18"/>
    </row>
    <row r="332">
      <c r="G332" s="18"/>
    </row>
    <row r="333">
      <c r="G333" s="18"/>
    </row>
    <row r="334">
      <c r="G334" s="18"/>
    </row>
    <row r="335">
      <c r="G335" s="18"/>
    </row>
    <row r="336">
      <c r="G336" s="18"/>
    </row>
    <row r="337">
      <c r="G337" s="18"/>
    </row>
    <row r="338">
      <c r="G338" s="18"/>
    </row>
    <row r="339">
      <c r="G339" s="18"/>
    </row>
    <row r="340">
      <c r="G340" s="18"/>
    </row>
    <row r="341">
      <c r="G341" s="18"/>
    </row>
    <row r="342">
      <c r="G342" s="18"/>
    </row>
    <row r="343">
      <c r="G343" s="18"/>
    </row>
    <row r="344">
      <c r="G344" s="18"/>
    </row>
    <row r="345">
      <c r="G345" s="18"/>
    </row>
    <row r="346">
      <c r="G346" s="18"/>
    </row>
    <row r="347">
      <c r="G347" s="18"/>
    </row>
    <row r="348">
      <c r="G348" s="18"/>
    </row>
    <row r="349">
      <c r="G349" s="18"/>
    </row>
    <row r="350">
      <c r="G350" s="18"/>
    </row>
    <row r="351">
      <c r="G351" s="18"/>
    </row>
    <row r="352">
      <c r="G352" s="18"/>
    </row>
    <row r="353">
      <c r="G353" s="18"/>
    </row>
    <row r="354">
      <c r="G354" s="18"/>
    </row>
    <row r="355">
      <c r="G355" s="18"/>
    </row>
    <row r="356">
      <c r="G356" s="18"/>
    </row>
    <row r="357">
      <c r="G357" s="18"/>
    </row>
    <row r="358">
      <c r="G358" s="18"/>
    </row>
    <row r="359">
      <c r="G359" s="18"/>
    </row>
    <row r="360">
      <c r="G360" s="18"/>
    </row>
    <row r="361">
      <c r="G361" s="18"/>
    </row>
    <row r="362">
      <c r="G362" s="18"/>
    </row>
    <row r="363">
      <c r="G363" s="18"/>
    </row>
    <row r="364">
      <c r="G364" s="18"/>
    </row>
    <row r="365">
      <c r="G365" s="18"/>
    </row>
    <row r="366">
      <c r="G366" s="18"/>
    </row>
    <row r="367">
      <c r="G367" s="18"/>
    </row>
    <row r="368">
      <c r="G368" s="18"/>
    </row>
    <row r="369">
      <c r="G369" s="18"/>
    </row>
    <row r="370">
      <c r="G370" s="18"/>
    </row>
    <row r="371">
      <c r="G371" s="18"/>
    </row>
    <row r="372">
      <c r="G372" s="18"/>
    </row>
    <row r="373">
      <c r="G373" s="18"/>
    </row>
    <row r="374">
      <c r="G374" s="18"/>
    </row>
    <row r="375">
      <c r="G375" s="18"/>
    </row>
    <row r="376">
      <c r="G376" s="18"/>
    </row>
    <row r="377">
      <c r="G377" s="18"/>
    </row>
    <row r="378">
      <c r="G378" s="18"/>
    </row>
    <row r="379">
      <c r="G379" s="18"/>
    </row>
    <row r="380">
      <c r="G380" s="18"/>
    </row>
    <row r="381">
      <c r="G381" s="18"/>
    </row>
    <row r="382">
      <c r="G382" s="18"/>
    </row>
    <row r="383">
      <c r="G383" s="18"/>
    </row>
    <row r="384">
      <c r="G384" s="18"/>
    </row>
    <row r="385">
      <c r="G385" s="18"/>
    </row>
    <row r="386">
      <c r="G386" s="18"/>
    </row>
    <row r="387">
      <c r="G387" s="18"/>
    </row>
    <row r="388">
      <c r="G388" s="18"/>
    </row>
    <row r="389">
      <c r="G389" s="18"/>
    </row>
    <row r="390">
      <c r="G390" s="18"/>
    </row>
    <row r="391">
      <c r="G391" s="18"/>
    </row>
    <row r="392">
      <c r="G392" s="18"/>
    </row>
    <row r="393">
      <c r="G393" s="18"/>
    </row>
    <row r="394">
      <c r="G394" s="18"/>
    </row>
    <row r="395">
      <c r="G395" s="18"/>
    </row>
    <row r="396">
      <c r="G396" s="18"/>
    </row>
    <row r="397">
      <c r="G397" s="18"/>
    </row>
    <row r="398">
      <c r="G398" s="18"/>
    </row>
    <row r="399">
      <c r="G399" s="18"/>
    </row>
    <row r="400">
      <c r="G400" s="18"/>
    </row>
    <row r="401">
      <c r="G401" s="18"/>
    </row>
    <row r="402">
      <c r="G402" s="18"/>
    </row>
    <row r="403">
      <c r="G403" s="18"/>
    </row>
    <row r="404">
      <c r="G404" s="18"/>
    </row>
    <row r="405">
      <c r="G405" s="18"/>
    </row>
    <row r="406">
      <c r="G406" s="18"/>
    </row>
    <row r="407">
      <c r="G407" s="18"/>
    </row>
    <row r="408">
      <c r="G408" s="18"/>
    </row>
    <row r="409">
      <c r="G409" s="18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</sheetData>
  <conditionalFormatting sqref="A4:A58 A64:A103">
    <cfRule type="expression" dxfId="4" priority="1">
      <formula>ROUNDUP</formula>
    </cfRule>
  </conditionalFormatting>
  <dataValidations>
    <dataValidation type="custom" allowBlank="1" showDropDown="1" sqref="J2:J43 P2:P45">
      <formula1>AND(ISNUMBER(J2),(NOT(OR(NOT(ISERROR(DATEVALUE(J2))), AND(ISNUMBER(J2), LEFT(CELL("format", J2))="D")))))</formula1>
    </dataValidation>
  </dataValidations>
  <drawing r:id="rId1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6" max="6" width="14.63"/>
    <col customWidth="1" min="8" max="8" width="18.88"/>
    <col customWidth="1" min="9" max="9" width="21.25"/>
    <col customWidth="1" min="10" max="11" width="13.88"/>
    <col customWidth="1" min="18" max="18" width="32.25"/>
    <col customWidth="1" min="19" max="19" width="43.38"/>
  </cols>
  <sheetData>
    <row r="1">
      <c r="A1" s="154" t="s">
        <v>327</v>
      </c>
      <c r="B1" s="155" t="s">
        <v>328</v>
      </c>
      <c r="C1" s="155" t="s">
        <v>329</v>
      </c>
      <c r="D1" s="155" t="s">
        <v>330</v>
      </c>
      <c r="E1" s="155" t="s">
        <v>331</v>
      </c>
      <c r="F1" s="155" t="s">
        <v>101</v>
      </c>
      <c r="G1" s="155" t="s">
        <v>332</v>
      </c>
      <c r="H1" s="155" t="s">
        <v>333</v>
      </c>
      <c r="I1" s="156" t="s">
        <v>334</v>
      </c>
    </row>
    <row r="2">
      <c r="A2" s="157" t="s">
        <v>59</v>
      </c>
      <c r="B2" s="158" t="s">
        <v>335</v>
      </c>
      <c r="C2" s="159">
        <v>2.0</v>
      </c>
      <c r="D2" s="159">
        <v>63.0</v>
      </c>
      <c r="E2" s="160">
        <v>12496.0</v>
      </c>
      <c r="F2" s="161">
        <v>8864575.0</v>
      </c>
      <c r="G2" s="157">
        <v>8.0</v>
      </c>
      <c r="H2" s="157">
        <v>46.0</v>
      </c>
      <c r="I2" s="162">
        <f>(G2)* 3825443.7</f>
        <v>30603549.6</v>
      </c>
    </row>
    <row r="3">
      <c r="B3" s="158" t="s">
        <v>336</v>
      </c>
      <c r="C3" s="159">
        <v>1.0</v>
      </c>
      <c r="D3" s="159">
        <v>39.0</v>
      </c>
      <c r="E3" s="160">
        <v>7766.0</v>
      </c>
      <c r="F3" s="161">
        <v>7695005.0</v>
      </c>
    </row>
    <row r="4">
      <c r="B4" s="158" t="s">
        <v>337</v>
      </c>
      <c r="C4" s="159">
        <v>1.0</v>
      </c>
      <c r="D4" s="159">
        <v>22.0</v>
      </c>
      <c r="E4" s="160">
        <v>4287.0</v>
      </c>
      <c r="F4" s="161">
        <v>2014556.0</v>
      </c>
    </row>
    <row r="5">
      <c r="B5" s="158" t="s">
        <v>338</v>
      </c>
      <c r="C5" s="159">
        <v>4.0</v>
      </c>
      <c r="D5" s="163"/>
      <c r="E5" s="164">
        <v>24549.0</v>
      </c>
      <c r="F5" s="165">
        <v>1.8574137E7</v>
      </c>
    </row>
    <row r="6">
      <c r="A6" s="157" t="s">
        <v>20</v>
      </c>
      <c r="B6" s="158" t="s">
        <v>339</v>
      </c>
      <c r="C6" s="159">
        <v>1.0</v>
      </c>
      <c r="D6" s="159">
        <v>7.0</v>
      </c>
      <c r="E6" s="159">
        <v>1919.0</v>
      </c>
      <c r="F6" s="161">
        <v>2135872.0</v>
      </c>
      <c r="G6" s="157">
        <v>20.0</v>
      </c>
      <c r="H6" s="157">
        <v>8.0</v>
      </c>
      <c r="I6" s="166">
        <f>G6* 3786863.26</f>
        <v>75737265.2</v>
      </c>
    </row>
    <row r="7">
      <c r="B7" s="158" t="s">
        <v>340</v>
      </c>
      <c r="C7" s="159">
        <v>6.0</v>
      </c>
      <c r="D7" s="159">
        <v>43.0</v>
      </c>
      <c r="E7" s="159">
        <v>8540.0</v>
      </c>
      <c r="F7" s="161">
        <v>4.370933E7</v>
      </c>
      <c r="I7" s="167"/>
    </row>
    <row r="8">
      <c r="B8" s="158" t="s">
        <v>341</v>
      </c>
      <c r="C8" s="159">
        <v>2.0</v>
      </c>
      <c r="D8" s="159">
        <v>14.0</v>
      </c>
      <c r="E8" s="159">
        <v>2709.0</v>
      </c>
      <c r="F8" s="161">
        <v>1.2574818E7</v>
      </c>
      <c r="I8" s="167"/>
    </row>
    <row r="9">
      <c r="B9" s="158" t="s">
        <v>342</v>
      </c>
      <c r="C9" s="159">
        <v>1.0</v>
      </c>
      <c r="D9" s="159">
        <v>8.0</v>
      </c>
      <c r="E9" s="159">
        <v>1600.0</v>
      </c>
      <c r="F9" s="161">
        <v>1394855.0</v>
      </c>
      <c r="I9" s="167"/>
    </row>
    <row r="10">
      <c r="B10" s="158" t="s">
        <v>338</v>
      </c>
      <c r="C10" s="159">
        <v>10.0</v>
      </c>
      <c r="D10" s="163"/>
      <c r="E10" s="164">
        <v>14768.0</v>
      </c>
      <c r="F10" s="165">
        <v>5.9814875E7</v>
      </c>
      <c r="I10" s="168"/>
    </row>
    <row r="11">
      <c r="A11" s="157" t="s">
        <v>63</v>
      </c>
      <c r="B11" s="158" t="s">
        <v>343</v>
      </c>
      <c r="C11" s="159">
        <v>1.0</v>
      </c>
      <c r="D11" s="159">
        <v>7.0</v>
      </c>
      <c r="E11" s="159">
        <v>1330.0</v>
      </c>
      <c r="F11" s="161">
        <v>402560.0</v>
      </c>
      <c r="G11" s="157">
        <v>2.0</v>
      </c>
      <c r="H11" s="157">
        <v>158.0</v>
      </c>
      <c r="I11" s="162">
        <f>G11* 3215443.7</f>
        <v>6430887.4</v>
      </c>
    </row>
    <row r="12">
      <c r="B12" s="158" t="s">
        <v>338</v>
      </c>
      <c r="C12" s="159">
        <v>1.0</v>
      </c>
      <c r="D12" s="163"/>
      <c r="E12" s="169">
        <v>1330.0</v>
      </c>
      <c r="F12" s="165">
        <v>402560.0</v>
      </c>
    </row>
    <row r="13">
      <c r="A13" s="170" t="s">
        <v>69</v>
      </c>
      <c r="B13" s="158" t="s">
        <v>344</v>
      </c>
      <c r="C13" s="159">
        <v>1.0</v>
      </c>
      <c r="D13" s="159">
        <v>24.0</v>
      </c>
      <c r="E13" s="159">
        <v>4623.0</v>
      </c>
      <c r="F13" s="161">
        <v>7998945.0</v>
      </c>
      <c r="G13" s="157">
        <v>2.0</v>
      </c>
      <c r="H13" s="157">
        <v>27.0</v>
      </c>
      <c r="I13" s="166">
        <f>G13* 3842203</f>
        <v>7684406</v>
      </c>
    </row>
    <row r="14">
      <c r="B14" s="158" t="s">
        <v>338</v>
      </c>
      <c r="C14" s="171">
        <v>1.0</v>
      </c>
      <c r="D14" s="172"/>
      <c r="E14" s="173">
        <v>4623.0</v>
      </c>
      <c r="F14" s="174">
        <v>7998945.0</v>
      </c>
      <c r="I14" s="168"/>
    </row>
    <row r="15">
      <c r="A15" s="157" t="s">
        <v>76</v>
      </c>
      <c r="B15" s="158" t="s">
        <v>345</v>
      </c>
      <c r="C15" s="159">
        <v>1.0</v>
      </c>
      <c r="D15" s="175">
        <v>17.0</v>
      </c>
      <c r="E15" s="159">
        <v>3313.0</v>
      </c>
      <c r="F15" s="161">
        <v>5819634.0</v>
      </c>
      <c r="G15" s="157">
        <v>6.0</v>
      </c>
      <c r="H15" s="157">
        <v>26.0</v>
      </c>
      <c r="I15" s="166">
        <f>G15* 3215443.7</f>
        <v>19292662.2</v>
      </c>
    </row>
    <row r="16">
      <c r="B16" s="158" t="s">
        <v>346</v>
      </c>
      <c r="C16" s="159">
        <v>1.0</v>
      </c>
      <c r="D16" s="159">
        <v>20.0</v>
      </c>
      <c r="E16" s="159">
        <v>3964.0</v>
      </c>
      <c r="F16" s="161">
        <v>2933714.0</v>
      </c>
      <c r="I16" s="167"/>
    </row>
    <row r="17">
      <c r="B17" s="158" t="s">
        <v>347</v>
      </c>
      <c r="C17" s="159">
        <v>1.0</v>
      </c>
      <c r="D17" s="159">
        <v>15.0</v>
      </c>
      <c r="E17" s="159">
        <v>2845.0</v>
      </c>
      <c r="F17" s="161">
        <v>4677429.0</v>
      </c>
      <c r="I17" s="167"/>
    </row>
    <row r="18">
      <c r="B18" s="158" t="s">
        <v>338</v>
      </c>
      <c r="C18" s="171">
        <v>3.0</v>
      </c>
      <c r="D18" s="172"/>
      <c r="E18" s="173">
        <v>10122.0</v>
      </c>
      <c r="F18" s="174">
        <v>1.3430777E7</v>
      </c>
      <c r="I18" s="168"/>
    </row>
    <row r="19">
      <c r="A19" s="157" t="s">
        <v>80</v>
      </c>
      <c r="B19" s="158" t="s">
        <v>348</v>
      </c>
      <c r="C19" s="159">
        <v>1.0</v>
      </c>
      <c r="D19" s="159">
        <v>32.0</v>
      </c>
      <c r="E19" s="159">
        <v>6285.0</v>
      </c>
      <c r="F19" s="161">
        <v>3.2527874E7</v>
      </c>
      <c r="G19" s="157">
        <v>2.0</v>
      </c>
      <c r="H19" s="157">
        <v>44.0</v>
      </c>
      <c r="I19" s="162">
        <f>2*'Biaya Driver'!E28</f>
        <v>7698866</v>
      </c>
    </row>
    <row r="20">
      <c r="B20" s="158" t="s">
        <v>338</v>
      </c>
      <c r="C20" s="169">
        <v>1.0</v>
      </c>
      <c r="D20" s="176"/>
      <c r="E20" s="164">
        <v>6285.0</v>
      </c>
      <c r="F20" s="165">
        <v>3.2527874E7</v>
      </c>
    </row>
    <row r="21">
      <c r="A21" s="157" t="s">
        <v>17</v>
      </c>
      <c r="B21" s="158" t="s">
        <v>349</v>
      </c>
      <c r="C21" s="159">
        <v>1.0</v>
      </c>
      <c r="D21" s="159">
        <v>18.0</v>
      </c>
      <c r="E21" s="159">
        <v>3579.0</v>
      </c>
      <c r="F21" s="161">
        <v>2696647.0</v>
      </c>
      <c r="G21" s="157">
        <v>6.0</v>
      </c>
      <c r="H21" s="157">
        <v>33.0</v>
      </c>
      <c r="I21" s="162">
        <f>6*'Biaya Driver'!E50</f>
        <v>21595021.5</v>
      </c>
    </row>
    <row r="22">
      <c r="B22" s="158" t="s">
        <v>350</v>
      </c>
      <c r="C22" s="159">
        <v>1.0</v>
      </c>
      <c r="D22" s="159">
        <v>14.0</v>
      </c>
      <c r="E22" s="159">
        <v>2724.0</v>
      </c>
      <c r="F22" s="161">
        <v>3747888.0</v>
      </c>
    </row>
    <row r="23">
      <c r="B23" s="158" t="s">
        <v>351</v>
      </c>
      <c r="C23" s="159">
        <v>1.0</v>
      </c>
      <c r="D23" s="159">
        <v>19.0</v>
      </c>
      <c r="E23" s="159">
        <v>2181.0</v>
      </c>
      <c r="F23" s="161">
        <v>327275.0</v>
      </c>
    </row>
    <row r="24">
      <c r="B24" s="158" t="s">
        <v>338</v>
      </c>
      <c r="C24" s="169">
        <v>3.0</v>
      </c>
      <c r="D24" s="176"/>
      <c r="E24" s="164">
        <v>8484.0</v>
      </c>
      <c r="F24" s="165">
        <v>6771810.0</v>
      </c>
    </row>
    <row r="25">
      <c r="A25" s="157" t="s">
        <v>26</v>
      </c>
      <c r="B25" s="158" t="s">
        <v>352</v>
      </c>
      <c r="C25" s="159">
        <v>1.0</v>
      </c>
      <c r="D25" s="159">
        <v>19.0</v>
      </c>
      <c r="E25" s="159">
        <v>3692.0</v>
      </c>
      <c r="F25" s="161">
        <v>3146020.0</v>
      </c>
      <c r="G25" s="157">
        <v>12.0</v>
      </c>
      <c r="H25" s="157">
        <v>23.0</v>
      </c>
      <c r="I25" s="162">
        <f>'Biaya Driver'!E52*G25</f>
        <v>52685334</v>
      </c>
    </row>
    <row r="26">
      <c r="B26" s="158" t="s">
        <v>353</v>
      </c>
      <c r="C26" s="159">
        <v>2.0</v>
      </c>
      <c r="D26" s="159">
        <v>41.0</v>
      </c>
      <c r="E26" s="159">
        <v>8017.0</v>
      </c>
      <c r="F26" s="161">
        <v>1.5808358E7</v>
      </c>
    </row>
    <row r="27">
      <c r="B27" s="158" t="s">
        <v>354</v>
      </c>
      <c r="C27" s="159">
        <v>1.0</v>
      </c>
      <c r="D27" s="159">
        <v>15.0</v>
      </c>
      <c r="E27" s="159">
        <v>1729.0</v>
      </c>
      <c r="F27" s="161">
        <v>1038750.0</v>
      </c>
    </row>
    <row r="28">
      <c r="B28" s="158" t="s">
        <v>355</v>
      </c>
      <c r="C28" s="159">
        <v>1.0</v>
      </c>
      <c r="D28" s="159">
        <v>19.0</v>
      </c>
      <c r="E28" s="159">
        <v>2269.0</v>
      </c>
      <c r="F28" s="161">
        <v>1135250.0</v>
      </c>
    </row>
    <row r="29">
      <c r="B29" s="158" t="s">
        <v>356</v>
      </c>
      <c r="C29" s="159">
        <v>1.0</v>
      </c>
      <c r="D29" s="159">
        <v>18.0</v>
      </c>
      <c r="E29" s="159">
        <v>2088.0</v>
      </c>
      <c r="F29" s="161">
        <v>791775.0</v>
      </c>
    </row>
    <row r="30">
      <c r="B30" s="158" t="s">
        <v>338</v>
      </c>
      <c r="C30" s="169">
        <v>6.0</v>
      </c>
      <c r="D30" s="176"/>
      <c r="E30" s="164">
        <v>17795.0</v>
      </c>
      <c r="F30" s="165">
        <v>2.1920153E7</v>
      </c>
      <c r="S30" s="4" t="s">
        <v>357</v>
      </c>
    </row>
    <row r="31">
      <c r="A31" s="157" t="s">
        <v>29</v>
      </c>
      <c r="B31" s="158" t="s">
        <v>358</v>
      </c>
      <c r="C31" s="159">
        <v>4.0</v>
      </c>
      <c r="D31" s="159">
        <v>49.0</v>
      </c>
      <c r="E31" s="159">
        <v>9643.0</v>
      </c>
      <c r="F31" s="161">
        <v>2.80602E7</v>
      </c>
      <c r="G31" s="157">
        <v>14.0</v>
      </c>
      <c r="H31" s="157">
        <v>15.0</v>
      </c>
      <c r="I31" s="162">
        <f>'Biaya Driver'!E53*G31</f>
        <v>47275871.02</v>
      </c>
      <c r="S31" s="4" t="s">
        <v>359</v>
      </c>
    </row>
    <row r="32">
      <c r="B32" s="158" t="s">
        <v>360</v>
      </c>
      <c r="C32" s="159">
        <v>1.0</v>
      </c>
      <c r="D32" s="159">
        <v>15.0</v>
      </c>
      <c r="E32" s="159">
        <v>2902.0</v>
      </c>
      <c r="F32" s="161">
        <v>5927949.0</v>
      </c>
      <c r="S32" s="7" t="str">
        <f>'Biaya Staff'!E32/'Biaya Staff'!D32</f>
        <v>#DIV/0!</v>
      </c>
    </row>
    <row r="33">
      <c r="B33" s="158" t="s">
        <v>361</v>
      </c>
      <c r="C33" s="159">
        <v>1.0</v>
      </c>
      <c r="D33" s="159">
        <v>11.0</v>
      </c>
      <c r="E33" s="159">
        <v>2016.0</v>
      </c>
      <c r="F33" s="161">
        <v>2208417.0</v>
      </c>
      <c r="S33" s="7" t="str">
        <f>'Biaya Staff'!E33/'Biaya Staff'!D33</f>
        <v>#DIV/0!</v>
      </c>
    </row>
    <row r="34">
      <c r="B34" s="158" t="s">
        <v>362</v>
      </c>
      <c r="C34" s="159">
        <v>1.0</v>
      </c>
      <c r="D34" s="159">
        <v>11.0</v>
      </c>
      <c r="E34" s="159">
        <v>1223.0</v>
      </c>
      <c r="F34" s="161">
        <v>986150.0</v>
      </c>
      <c r="S34" s="7" t="str">
        <f>'Biaya Staff'!E34/'Biaya Staff'!D34</f>
        <v>#DIV/0!</v>
      </c>
    </row>
    <row r="35">
      <c r="B35" s="158" t="s">
        <v>338</v>
      </c>
      <c r="C35" s="169">
        <v>7.0</v>
      </c>
      <c r="D35" s="176"/>
      <c r="E35" s="164">
        <v>15604.0</v>
      </c>
      <c r="F35" s="165">
        <v>3.7182716E7</v>
      </c>
      <c r="S35" s="7" t="str">
        <f>'Biaya Staff'!E35/'Biaya Staff'!D35</f>
        <v>#DIV/0!</v>
      </c>
    </row>
    <row r="36">
      <c r="A36" s="157" t="s">
        <v>43</v>
      </c>
      <c r="B36" s="158" t="s">
        <v>363</v>
      </c>
      <c r="C36" s="159">
        <v>1.0</v>
      </c>
      <c r="D36" s="159">
        <v>23.0</v>
      </c>
      <c r="E36" s="159">
        <v>4425.0</v>
      </c>
      <c r="F36" s="161">
        <v>3093369.0</v>
      </c>
      <c r="G36" s="157">
        <v>6.0</v>
      </c>
      <c r="H36" s="157">
        <v>67.0</v>
      </c>
      <c r="I36" s="162">
        <f>'Biaya Driver'!E59*G36</f>
        <v>24693832.8</v>
      </c>
      <c r="S36" s="7" t="str">
        <f>'Biaya Staff'!E36/'Biaya Staff'!D36</f>
        <v>#DIV/0!</v>
      </c>
    </row>
    <row r="37">
      <c r="B37" s="158" t="s">
        <v>364</v>
      </c>
      <c r="C37" s="159">
        <v>1.0</v>
      </c>
      <c r="D37" s="159">
        <v>19.0</v>
      </c>
      <c r="E37" s="159">
        <v>3785.0</v>
      </c>
      <c r="F37" s="161">
        <v>1332237.0</v>
      </c>
      <c r="S37" s="7" t="str">
        <f>'Biaya Staff'!E37/'Biaya Staff'!D37</f>
        <v>#DIV/0!</v>
      </c>
    </row>
    <row r="38">
      <c r="B38" s="158" t="s">
        <v>365</v>
      </c>
      <c r="C38" s="159">
        <v>1.0</v>
      </c>
      <c r="D38" s="159">
        <v>17.0</v>
      </c>
      <c r="E38" s="159">
        <v>1924.0</v>
      </c>
      <c r="F38" s="161">
        <v>1062075.0</v>
      </c>
      <c r="S38" s="7" t="str">
        <f>'Biaya Staff'!E38/'Biaya Staff'!D38</f>
        <v>#DIV/0!</v>
      </c>
    </row>
    <row r="39">
      <c r="B39" s="158" t="s">
        <v>338</v>
      </c>
      <c r="C39" s="169">
        <v>3.0</v>
      </c>
      <c r="D39" s="176"/>
      <c r="E39" s="164">
        <v>10134.0</v>
      </c>
      <c r="F39" s="165">
        <v>5487681.0</v>
      </c>
      <c r="S39" s="7" t="str">
        <f>'Biaya Staff'!E39/'Biaya Staff'!D39</f>
        <v>#DIV/0!</v>
      </c>
    </row>
    <row r="40">
      <c r="A40" s="157" t="s">
        <v>45</v>
      </c>
      <c r="B40" s="158" t="s">
        <v>366</v>
      </c>
      <c r="C40" s="159">
        <v>1.0</v>
      </c>
      <c r="D40" s="159">
        <v>18.0</v>
      </c>
      <c r="E40" s="159">
        <v>3422.0</v>
      </c>
      <c r="F40" s="161">
        <v>1810471.0</v>
      </c>
      <c r="G40" s="157">
        <v>6.0</v>
      </c>
      <c r="H40" s="157">
        <v>90.0</v>
      </c>
      <c r="I40" s="162">
        <f>G40*'Biaya Driver'!E60</f>
        <v>24693832.8</v>
      </c>
      <c r="S40" s="7" t="str">
        <f>'Biaya Staff'!E40/'Biaya Staff'!D40</f>
        <v>#DIV/0!</v>
      </c>
    </row>
    <row r="41">
      <c r="B41" s="158" t="s">
        <v>367</v>
      </c>
      <c r="C41" s="159">
        <v>1.0</v>
      </c>
      <c r="D41" s="159">
        <v>18.0</v>
      </c>
      <c r="E41" s="159">
        <v>3554.0</v>
      </c>
      <c r="F41" s="161">
        <v>1405851.0</v>
      </c>
      <c r="S41" s="7" t="str">
        <f>'Biaya Staff'!E41/'Biaya Staff'!D41</f>
        <v>#DIV/0!</v>
      </c>
    </row>
    <row r="42">
      <c r="B42" s="158" t="s">
        <v>368</v>
      </c>
      <c r="C42" s="159">
        <v>1.0</v>
      </c>
      <c r="D42" s="159">
        <v>9.0</v>
      </c>
      <c r="E42" s="159">
        <v>967.0</v>
      </c>
      <c r="F42" s="161">
        <v>702112.0</v>
      </c>
      <c r="S42" s="7" t="str">
        <f>'Biaya Staff'!E42/'Biaya Staff'!D42</f>
        <v>#DIV/0!</v>
      </c>
    </row>
    <row r="43">
      <c r="B43" s="158" t="s">
        <v>338</v>
      </c>
      <c r="C43" s="169">
        <v>3.0</v>
      </c>
      <c r="D43" s="176"/>
      <c r="E43" s="164">
        <v>7943.0</v>
      </c>
      <c r="F43" s="165">
        <v>3918434.0</v>
      </c>
      <c r="S43" s="7" t="str">
        <f>'Biaya Staff'!E43/'Biaya Staff'!D43</f>
        <v>#DIV/0!</v>
      </c>
    </row>
    <row r="44">
      <c r="A44" s="157" t="s">
        <v>58</v>
      </c>
      <c r="B44" s="158" t="s">
        <v>369</v>
      </c>
      <c r="C44" s="159">
        <v>1.0</v>
      </c>
      <c r="D44" s="159">
        <v>24.0</v>
      </c>
      <c r="E44" s="159">
        <v>4675.0</v>
      </c>
      <c r="F44" s="161">
        <v>3775935.0</v>
      </c>
      <c r="G44" s="157">
        <v>2.0</v>
      </c>
      <c r="H44" s="157">
        <v>57.0</v>
      </c>
      <c r="I44" s="162">
        <f>G44*'Biaya Driver'!E21</f>
        <v>8234142</v>
      </c>
      <c r="S44" s="7" t="str">
        <f>'Biaya Staff'!E44/'Biaya Staff'!D44</f>
        <v>#DIV/0!</v>
      </c>
    </row>
    <row r="45">
      <c r="B45" s="158" t="s">
        <v>338</v>
      </c>
      <c r="C45" s="169">
        <v>1.0</v>
      </c>
      <c r="D45" s="176"/>
      <c r="E45" s="169">
        <v>4.675</v>
      </c>
      <c r="F45" s="165">
        <v>3775935.0</v>
      </c>
      <c r="S45" s="7" t="str">
        <f>'Biaya Staff'!E45/'Biaya Staff'!D45</f>
        <v>#DIV/0!</v>
      </c>
    </row>
    <row r="46">
      <c r="A46" s="157" t="s">
        <v>23</v>
      </c>
      <c r="B46" s="158" t="s">
        <v>370</v>
      </c>
      <c r="C46" s="159">
        <v>1.0</v>
      </c>
      <c r="D46" s="159">
        <v>23.0</v>
      </c>
      <c r="E46" s="159">
        <v>6440.0</v>
      </c>
      <c r="F46" s="161">
        <v>640067.0</v>
      </c>
      <c r="G46" s="157">
        <v>22.0</v>
      </c>
      <c r="H46" s="157">
        <v>26.0</v>
      </c>
      <c r="I46" s="162">
        <f>G46*'Biaya Driver'!E51</f>
        <v>93104525.8</v>
      </c>
      <c r="S46" s="7" t="str">
        <f>'Biaya Staff'!E46/'Biaya Staff'!D46</f>
        <v>#DIV/0!</v>
      </c>
    </row>
    <row r="47">
      <c r="B47" s="158" t="s">
        <v>371</v>
      </c>
      <c r="C47" s="159">
        <v>1.0</v>
      </c>
      <c r="D47" s="159">
        <v>19.0</v>
      </c>
      <c r="E47" s="159">
        <v>5320.0</v>
      </c>
      <c r="F47" s="161">
        <v>5253272.0</v>
      </c>
      <c r="S47" s="7" t="str">
        <f>'Biaya Staff'!E47/'Biaya Staff'!D47</f>
        <v>#DIV/0!</v>
      </c>
    </row>
    <row r="48">
      <c r="B48" s="158" t="s">
        <v>372</v>
      </c>
      <c r="C48" s="159">
        <v>1.0</v>
      </c>
      <c r="D48" s="159">
        <v>13.0</v>
      </c>
      <c r="E48" s="159">
        <v>2549.0</v>
      </c>
      <c r="F48" s="161">
        <v>2525714.0</v>
      </c>
      <c r="S48" s="7" t="str">
        <f>'Biaya Staff'!E48/'Biaya Staff'!D48</f>
        <v>#DIV/0!</v>
      </c>
    </row>
    <row r="49">
      <c r="B49" s="158" t="s">
        <v>373</v>
      </c>
      <c r="C49" s="159">
        <v>1.0</v>
      </c>
      <c r="D49" s="159">
        <v>25.0</v>
      </c>
      <c r="E49" s="159">
        <v>5000.0</v>
      </c>
      <c r="F49" s="161">
        <v>397557.0</v>
      </c>
      <c r="S49" s="7" t="str">
        <f>'Biaya Staff'!E49/'Biaya Staff'!D49</f>
        <v>#DIV/0!</v>
      </c>
    </row>
    <row r="50">
      <c r="B50" s="158" t="s">
        <v>374</v>
      </c>
      <c r="C50" s="159">
        <v>1.0</v>
      </c>
      <c r="D50" s="159">
        <v>13.0</v>
      </c>
      <c r="E50" s="159">
        <v>2600.0</v>
      </c>
      <c r="F50" s="161">
        <v>1230275.0</v>
      </c>
      <c r="S50" s="7" t="str">
        <f>'Biaya Staff'!E50/'Biaya Staff'!D50</f>
        <v>#DIV/0!</v>
      </c>
    </row>
    <row r="51">
      <c r="B51" s="158" t="s">
        <v>375</v>
      </c>
      <c r="C51" s="159">
        <v>1.0</v>
      </c>
      <c r="D51" s="159">
        <v>15.0</v>
      </c>
      <c r="E51" s="159">
        <v>2871.0</v>
      </c>
      <c r="F51" s="161">
        <v>2839243.0</v>
      </c>
      <c r="S51" s="7" t="str">
        <f>'Biaya Staff'!E51/'Biaya Staff'!D51</f>
        <v>#DIV/0!</v>
      </c>
    </row>
    <row r="52">
      <c r="B52" s="158" t="s">
        <v>376</v>
      </c>
      <c r="C52" s="159">
        <v>1.0</v>
      </c>
      <c r="D52" s="159">
        <v>17.0</v>
      </c>
      <c r="E52" s="159">
        <v>3259.0</v>
      </c>
      <c r="F52" s="161">
        <v>6199133.0</v>
      </c>
      <c r="S52" s="7" t="str">
        <f>'Biaya Staff'!E52/'Biaya Staff'!D52</f>
        <v>#DIV/0!</v>
      </c>
    </row>
    <row r="53">
      <c r="B53" s="158" t="s">
        <v>377</v>
      </c>
      <c r="C53" s="159">
        <v>1.0</v>
      </c>
      <c r="D53" s="159">
        <v>6.0</v>
      </c>
      <c r="E53" s="159">
        <v>1169.0</v>
      </c>
      <c r="F53" s="161">
        <v>1307815.0</v>
      </c>
      <c r="S53" s="7" t="str">
        <f>'Biaya Staff'!E53/'Biaya Staff'!D53</f>
        <v>#DIV/0!</v>
      </c>
    </row>
    <row r="54">
      <c r="B54" s="158" t="s">
        <v>378</v>
      </c>
      <c r="C54" s="159">
        <v>1.0</v>
      </c>
      <c r="D54" s="159">
        <v>16.0</v>
      </c>
      <c r="E54" s="159">
        <v>1826.0</v>
      </c>
      <c r="F54" s="161">
        <v>1104600.0</v>
      </c>
      <c r="S54" s="7" t="str">
        <f>'Biaya Staff'!E54/'Biaya Staff'!D54</f>
        <v>#DIV/0!</v>
      </c>
    </row>
    <row r="55">
      <c r="B55" s="158" t="s">
        <v>379</v>
      </c>
      <c r="C55" s="159">
        <v>1.0</v>
      </c>
      <c r="D55" s="159">
        <v>17.0</v>
      </c>
      <c r="E55" s="159">
        <v>1978.0</v>
      </c>
      <c r="F55" s="161">
        <v>878262.0</v>
      </c>
      <c r="S55" s="7" t="str">
        <f>'Biaya Staff'!E55/'Biaya Staff'!D55</f>
        <v>#DIV/0!</v>
      </c>
    </row>
    <row r="56">
      <c r="B56" s="158" t="s">
        <v>338</v>
      </c>
      <c r="C56" s="169">
        <v>11.0</v>
      </c>
      <c r="D56" s="176"/>
      <c r="E56" s="169">
        <v>33.282</v>
      </c>
      <c r="F56" s="165">
        <v>2.2375938E7</v>
      </c>
      <c r="S56" s="7" t="str">
        <f>'Biaya Staff'!E56/'Biaya Staff'!D56</f>
        <v>#DIV/0!</v>
      </c>
    </row>
    <row r="57">
      <c r="A57" s="177" t="s">
        <v>34</v>
      </c>
      <c r="B57" s="158" t="s">
        <v>380</v>
      </c>
      <c r="C57" s="159">
        <v>1.0</v>
      </c>
      <c r="D57" s="159">
        <v>14.0</v>
      </c>
      <c r="E57" s="159">
        <v>2672.0</v>
      </c>
      <c r="F57" s="161">
        <v>1831376.0</v>
      </c>
      <c r="G57" s="157">
        <v>2.0</v>
      </c>
      <c r="H57" s="157">
        <v>69.0</v>
      </c>
      <c r="I57" s="162">
        <f>G57*'Biaya Driver'!E56</f>
        <v>7250947.6</v>
      </c>
      <c r="S57" s="7" t="str">
        <f>'Biaya Staff'!E57/'Biaya Staff'!D57</f>
        <v>#DIV/0!</v>
      </c>
    </row>
    <row r="58">
      <c r="B58" s="158" t="s">
        <v>338</v>
      </c>
      <c r="C58" s="169">
        <v>1.0</v>
      </c>
      <c r="D58" s="169">
        <v>14.0</v>
      </c>
      <c r="E58" s="169">
        <v>2.672</v>
      </c>
      <c r="F58" s="165">
        <v>1831376.0</v>
      </c>
      <c r="S58" s="7" t="str">
        <f>'Biaya Staff'!E58/'Biaya Staff'!D58</f>
        <v>#DIV/0!</v>
      </c>
    </row>
    <row r="59">
      <c r="A59" s="178" t="s">
        <v>381</v>
      </c>
      <c r="B59" s="179"/>
      <c r="C59" s="179"/>
      <c r="F59" s="180">
        <f>SUM(F5,F10,F12,F14,F18,F20,F24,F30,F35,F39,F43,F45,F56,F58)</f>
        <v>236013211</v>
      </c>
      <c r="I59" s="181">
        <f>(SUM(I6:I58))</f>
        <v>396377594.3</v>
      </c>
    </row>
    <row r="60">
      <c r="A60" s="182" t="s">
        <v>382</v>
      </c>
      <c r="F60" s="183">
        <f>SUM(F59,I59)</f>
        <v>632390805.3</v>
      </c>
    </row>
  </sheetData>
  <mergeCells count="56">
    <mergeCell ref="H40:H43"/>
    <mergeCell ref="I40:I43"/>
    <mergeCell ref="G31:G35"/>
    <mergeCell ref="H31:H35"/>
    <mergeCell ref="I31:I35"/>
    <mergeCell ref="G36:G39"/>
    <mergeCell ref="H36:H39"/>
    <mergeCell ref="I36:I39"/>
    <mergeCell ref="G40:G43"/>
    <mergeCell ref="H57:H58"/>
    <mergeCell ref="I57:I58"/>
    <mergeCell ref="G44:G45"/>
    <mergeCell ref="H44:H45"/>
    <mergeCell ref="I44:I45"/>
    <mergeCell ref="G46:G56"/>
    <mergeCell ref="H46:H56"/>
    <mergeCell ref="I46:I56"/>
    <mergeCell ref="G57:G58"/>
    <mergeCell ref="A2:A5"/>
    <mergeCell ref="G2:G5"/>
    <mergeCell ref="H2:H5"/>
    <mergeCell ref="I2:I5"/>
    <mergeCell ref="G6:G10"/>
    <mergeCell ref="H6:H10"/>
    <mergeCell ref="I6:I10"/>
    <mergeCell ref="H15:H18"/>
    <mergeCell ref="I15:I18"/>
    <mergeCell ref="G11:G12"/>
    <mergeCell ref="H11:H12"/>
    <mergeCell ref="I11:I12"/>
    <mergeCell ref="G13:G14"/>
    <mergeCell ref="H13:H14"/>
    <mergeCell ref="I13:I14"/>
    <mergeCell ref="G15:G18"/>
    <mergeCell ref="H25:H30"/>
    <mergeCell ref="I25:I30"/>
    <mergeCell ref="A31:A35"/>
    <mergeCell ref="A36:A39"/>
    <mergeCell ref="A40:A43"/>
    <mergeCell ref="A44:A45"/>
    <mergeCell ref="A46:A56"/>
    <mergeCell ref="A57:A58"/>
    <mergeCell ref="A6:A10"/>
    <mergeCell ref="A11:A12"/>
    <mergeCell ref="A13:A14"/>
    <mergeCell ref="A15:A18"/>
    <mergeCell ref="A19:A20"/>
    <mergeCell ref="A21:A24"/>
    <mergeCell ref="A25:A30"/>
    <mergeCell ref="G19:G20"/>
    <mergeCell ref="H19:H20"/>
    <mergeCell ref="I19:I20"/>
    <mergeCell ref="G21:G24"/>
    <mergeCell ref="H21:H24"/>
    <mergeCell ref="I21:I24"/>
    <mergeCell ref="G25:G3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7" max="7" width="18.25"/>
  </cols>
  <sheetData>
    <row r="1">
      <c r="A1" s="184" t="s">
        <v>383</v>
      </c>
      <c r="B1" s="185"/>
      <c r="C1" s="185"/>
    </row>
    <row r="2">
      <c r="A2" s="184" t="s">
        <v>384</v>
      </c>
      <c r="B2" s="186"/>
      <c r="C2" s="14">
        <v>45.0</v>
      </c>
      <c r="D2" s="14" t="s">
        <v>385</v>
      </c>
      <c r="E2" s="14"/>
    </row>
    <row r="3">
      <c r="A3" s="184" t="s">
        <v>386</v>
      </c>
      <c r="B3" s="186"/>
      <c r="C3" s="186"/>
      <c r="D3" s="14"/>
      <c r="E3" s="14"/>
    </row>
    <row r="4">
      <c r="B4" s="145" t="s">
        <v>92</v>
      </c>
      <c r="C4" s="145" t="s">
        <v>94</v>
      </c>
      <c r="D4" s="145" t="s">
        <v>0</v>
      </c>
      <c r="E4" s="145" t="s">
        <v>387</v>
      </c>
      <c r="F4" s="145" t="s">
        <v>388</v>
      </c>
      <c r="G4" s="187" t="s">
        <v>389</v>
      </c>
      <c r="I4" s="188"/>
    </row>
    <row r="5">
      <c r="B5" s="145" t="s">
        <v>97</v>
      </c>
      <c r="C5" s="145" t="s">
        <v>11</v>
      </c>
      <c r="D5" s="145" t="s">
        <v>13</v>
      </c>
      <c r="E5" s="189">
        <v>3786863.26</v>
      </c>
      <c r="F5" s="189">
        <v>3795823.23</v>
      </c>
      <c r="G5" s="190">
        <v>8.283333333E7</v>
      </c>
      <c r="I5" s="188"/>
    </row>
    <row r="6">
      <c r="B6" s="145" t="s">
        <v>97</v>
      </c>
      <c r="C6" s="145" t="s">
        <v>20</v>
      </c>
      <c r="D6" s="145" t="s">
        <v>13</v>
      </c>
      <c r="E6" s="189">
        <v>3786863.26</v>
      </c>
      <c r="F6" s="189">
        <v>3795823.23</v>
      </c>
      <c r="G6" s="190">
        <v>8.283333333E7</v>
      </c>
      <c r="I6" s="188"/>
    </row>
    <row r="7">
      <c r="B7" s="145" t="s">
        <v>97</v>
      </c>
      <c r="C7" s="145" t="s">
        <v>88</v>
      </c>
      <c r="D7" s="145" t="s">
        <v>127</v>
      </c>
      <c r="E7" s="189">
        <v>3786863.26</v>
      </c>
      <c r="F7" s="189">
        <v>3795823.23</v>
      </c>
      <c r="G7" s="190">
        <v>4.733333333E7</v>
      </c>
      <c r="I7" s="188"/>
    </row>
    <row r="8">
      <c r="B8" s="145" t="s">
        <v>97</v>
      </c>
      <c r="C8" s="145" t="s">
        <v>89</v>
      </c>
      <c r="D8" s="145" t="s">
        <v>127</v>
      </c>
      <c r="E8" s="189">
        <v>3786863.26</v>
      </c>
      <c r="F8" s="189">
        <v>3795823.23</v>
      </c>
      <c r="G8" s="190">
        <v>4.733333333E7</v>
      </c>
      <c r="I8" s="188"/>
    </row>
    <row r="9">
      <c r="B9" s="145" t="s">
        <v>97</v>
      </c>
      <c r="C9" s="145" t="s">
        <v>90</v>
      </c>
      <c r="D9" s="145" t="s">
        <v>127</v>
      </c>
      <c r="E9" s="189">
        <v>3786863.26</v>
      </c>
      <c r="F9" s="189">
        <v>3795823.23</v>
      </c>
      <c r="G9" s="190">
        <v>4.733333333E7</v>
      </c>
      <c r="I9" s="188"/>
    </row>
    <row r="10">
      <c r="B10" s="145" t="s">
        <v>97</v>
      </c>
      <c r="C10" s="145" t="s">
        <v>91</v>
      </c>
      <c r="D10" s="145" t="s">
        <v>127</v>
      </c>
      <c r="E10" s="189">
        <v>3786863.26</v>
      </c>
      <c r="F10" s="189">
        <v>3795823.23</v>
      </c>
      <c r="G10" s="190">
        <v>4.733333333E7</v>
      </c>
      <c r="I10" s="188"/>
    </row>
    <row r="11">
      <c r="B11" s="145" t="s">
        <v>98</v>
      </c>
      <c r="C11" s="145" t="s">
        <v>315</v>
      </c>
      <c r="D11" s="145" t="s">
        <v>128</v>
      </c>
      <c r="E11" s="189">
        <v>0.0</v>
      </c>
      <c r="F11" s="189">
        <v>0.0</v>
      </c>
      <c r="G11" s="190">
        <v>2366666.67</v>
      </c>
      <c r="I11" s="188"/>
    </row>
    <row r="12">
      <c r="B12" s="145" t="s">
        <v>98</v>
      </c>
      <c r="C12" s="145" t="s">
        <v>60</v>
      </c>
      <c r="D12" s="145" t="s">
        <v>128</v>
      </c>
      <c r="E12" s="189">
        <v>0.0</v>
      </c>
      <c r="F12" s="189">
        <v>0.0</v>
      </c>
      <c r="G12" s="190">
        <v>2366666.67</v>
      </c>
      <c r="I12" s="188"/>
    </row>
    <row r="13">
      <c r="B13" s="145" t="s">
        <v>98</v>
      </c>
      <c r="C13" s="145" t="s">
        <v>61</v>
      </c>
      <c r="D13" s="145" t="s">
        <v>128</v>
      </c>
      <c r="E13" s="189">
        <v>0.0</v>
      </c>
      <c r="F13" s="189">
        <v>0.0</v>
      </c>
      <c r="G13" s="190">
        <v>2366666.67</v>
      </c>
      <c r="I13" s="188"/>
    </row>
    <row r="14">
      <c r="B14" s="145" t="s">
        <v>98</v>
      </c>
      <c r="C14" s="145" t="s">
        <v>64</v>
      </c>
      <c r="D14" s="145" t="s">
        <v>128</v>
      </c>
      <c r="E14" s="189">
        <v>0.0</v>
      </c>
      <c r="F14" s="189">
        <v>0.0</v>
      </c>
      <c r="G14" s="190">
        <v>2366666.67</v>
      </c>
      <c r="I14" s="188"/>
    </row>
    <row r="15">
      <c r="B15" s="145" t="s">
        <v>98</v>
      </c>
      <c r="C15" s="145" t="s">
        <v>67</v>
      </c>
      <c r="D15" s="145" t="s">
        <v>128</v>
      </c>
      <c r="E15" s="189">
        <v>0.0</v>
      </c>
      <c r="F15" s="189">
        <v>0.0</v>
      </c>
      <c r="G15" s="190">
        <v>2366666.67</v>
      </c>
      <c r="I15" s="188"/>
    </row>
    <row r="16">
      <c r="B16" s="145" t="s">
        <v>98</v>
      </c>
      <c r="C16" s="145" t="s">
        <v>71</v>
      </c>
      <c r="D16" s="145" t="s">
        <v>128</v>
      </c>
      <c r="E16" s="189">
        <v>0.0</v>
      </c>
      <c r="F16" s="189">
        <v>0.0</v>
      </c>
      <c r="G16" s="190">
        <v>2366666.67</v>
      </c>
      <c r="I16" s="188"/>
    </row>
    <row r="17">
      <c r="B17" s="145" t="s">
        <v>98</v>
      </c>
      <c r="C17" s="145" t="s">
        <v>73</v>
      </c>
      <c r="D17" s="145" t="s">
        <v>128</v>
      </c>
      <c r="E17" s="189">
        <v>0.0</v>
      </c>
      <c r="F17" s="189">
        <v>0.0</v>
      </c>
      <c r="G17" s="190">
        <v>2366666.67</v>
      </c>
      <c r="I17" s="188"/>
    </row>
    <row r="18">
      <c r="B18" s="145" t="s">
        <v>98</v>
      </c>
      <c r="C18" s="145" t="s">
        <v>75</v>
      </c>
      <c r="D18" s="145" t="s">
        <v>128</v>
      </c>
      <c r="E18" s="189">
        <v>0.0</v>
      </c>
      <c r="F18" s="189">
        <v>0.0</v>
      </c>
      <c r="G18" s="190">
        <v>2366666.67</v>
      </c>
      <c r="I18" s="188"/>
    </row>
    <row r="19">
      <c r="B19" s="145" t="s">
        <v>98</v>
      </c>
      <c r="C19" s="145" t="s">
        <v>86</v>
      </c>
      <c r="D19" s="145" t="s">
        <v>128</v>
      </c>
      <c r="E19" s="189">
        <v>0.0</v>
      </c>
      <c r="F19" s="189">
        <v>0.0</v>
      </c>
      <c r="G19" s="190">
        <v>2366666.67</v>
      </c>
      <c r="I19" s="188"/>
    </row>
    <row r="20">
      <c r="B20" s="145" t="s">
        <v>98</v>
      </c>
      <c r="C20" s="145" t="s">
        <v>82</v>
      </c>
      <c r="D20" s="145" t="s">
        <v>128</v>
      </c>
      <c r="E20" s="189">
        <v>0.0</v>
      </c>
      <c r="F20" s="189">
        <v>0.0</v>
      </c>
      <c r="G20" s="190">
        <v>2366666.67</v>
      </c>
      <c r="I20" s="188"/>
    </row>
    <row r="21">
      <c r="B21" s="145" t="s">
        <v>98</v>
      </c>
      <c r="C21" s="145" t="s">
        <v>58</v>
      </c>
      <c r="D21" s="145" t="s">
        <v>66</v>
      </c>
      <c r="E21" s="189">
        <v>4117071.0</v>
      </c>
      <c r="F21" s="189">
        <v>3507071.0</v>
      </c>
      <c r="G21" s="190">
        <v>8.283333333E7</v>
      </c>
      <c r="I21" s="188"/>
    </row>
    <row r="22">
      <c r="B22" s="145" t="s">
        <v>98</v>
      </c>
      <c r="C22" s="145" t="s">
        <v>59</v>
      </c>
      <c r="D22" s="145" t="s">
        <v>66</v>
      </c>
      <c r="E22" s="189">
        <v>3825443.7</v>
      </c>
      <c r="F22" s="189">
        <v>3215443.7</v>
      </c>
      <c r="G22" s="190">
        <v>8.283333333E7</v>
      </c>
      <c r="I22" s="188"/>
    </row>
    <row r="23">
      <c r="B23" s="145" t="s">
        <v>98</v>
      </c>
      <c r="C23" s="145" t="s">
        <v>62</v>
      </c>
      <c r="D23" s="145" t="s">
        <v>66</v>
      </c>
      <c r="E23" s="189">
        <v>4439764.23</v>
      </c>
      <c r="F23" s="189">
        <v>3829764.23</v>
      </c>
      <c r="G23" s="190">
        <v>8.283333333E7</v>
      </c>
      <c r="I23" s="188"/>
    </row>
    <row r="24">
      <c r="B24" s="145" t="s">
        <v>98</v>
      </c>
      <c r="C24" s="145" t="s">
        <v>63</v>
      </c>
      <c r="D24" s="145" t="s">
        <v>66</v>
      </c>
      <c r="E24" s="189">
        <v>3215443.7</v>
      </c>
      <c r="F24" s="189">
        <v>3215443.7</v>
      </c>
      <c r="G24" s="190">
        <v>8.283333333E7</v>
      </c>
      <c r="I24" s="188"/>
    </row>
    <row r="25">
      <c r="B25" s="145" t="s">
        <v>98</v>
      </c>
      <c r="C25" s="145" t="s">
        <v>69</v>
      </c>
      <c r="D25" s="145" t="s">
        <v>66</v>
      </c>
      <c r="E25" s="189">
        <v>3842203.0</v>
      </c>
      <c r="F25" s="189">
        <v>3232203.0</v>
      </c>
      <c r="G25" s="190">
        <v>8.283333333E7</v>
      </c>
      <c r="I25" s="188"/>
    </row>
    <row r="26">
      <c r="B26" s="145" t="s">
        <v>98</v>
      </c>
      <c r="C26" s="145" t="s">
        <v>76</v>
      </c>
      <c r="D26" s="145" t="s">
        <v>66</v>
      </c>
      <c r="E26" s="189">
        <v>3215443.7</v>
      </c>
      <c r="F26" s="189">
        <v>3215443.7</v>
      </c>
      <c r="G26" s="190">
        <v>8.283333333E7</v>
      </c>
      <c r="I26" s="188"/>
    </row>
    <row r="27">
      <c r="B27" s="145" t="s">
        <v>98</v>
      </c>
      <c r="C27" s="145" t="s">
        <v>78</v>
      </c>
      <c r="D27" s="145" t="s">
        <v>66</v>
      </c>
      <c r="E27" s="189">
        <v>4165327.0</v>
      </c>
      <c r="F27" s="189">
        <v>3555327.0</v>
      </c>
      <c r="G27" s="190">
        <v>8.283333333E7</v>
      </c>
      <c r="I27" s="188"/>
    </row>
    <row r="28">
      <c r="B28" s="145" t="s">
        <v>98</v>
      </c>
      <c r="C28" s="145" t="s">
        <v>80</v>
      </c>
      <c r="D28" s="145" t="s">
        <v>66</v>
      </c>
      <c r="E28" s="189">
        <v>3849433.0</v>
      </c>
      <c r="F28" s="189">
        <v>3239433.0</v>
      </c>
      <c r="G28" s="190">
        <v>8.283333333E7</v>
      </c>
      <c r="I28" s="188"/>
    </row>
    <row r="29">
      <c r="B29" s="145" t="s">
        <v>98</v>
      </c>
      <c r="C29" s="145" t="s">
        <v>83</v>
      </c>
      <c r="D29" s="145" t="s">
        <v>66</v>
      </c>
      <c r="E29" s="189">
        <v>4901971.0</v>
      </c>
      <c r="F29" s="189">
        <v>4291971.0</v>
      </c>
      <c r="G29" s="190">
        <v>8.283333333E7</v>
      </c>
      <c r="I29" s="188"/>
    </row>
    <row r="30">
      <c r="B30" s="145" t="s">
        <v>10</v>
      </c>
      <c r="C30" s="145" t="s">
        <v>19</v>
      </c>
      <c r="D30" s="145" t="s">
        <v>128</v>
      </c>
      <c r="E30" s="189">
        <v>0.0</v>
      </c>
      <c r="F30" s="189">
        <v>0.0</v>
      </c>
      <c r="G30" s="190">
        <v>2366666.67</v>
      </c>
      <c r="I30" s="188"/>
    </row>
    <row r="31">
      <c r="B31" s="145" t="s">
        <v>10</v>
      </c>
      <c r="C31" s="145" t="s">
        <v>22</v>
      </c>
      <c r="D31" s="145" t="s">
        <v>128</v>
      </c>
      <c r="E31" s="189">
        <v>0.0</v>
      </c>
      <c r="F31" s="189">
        <v>0.0</v>
      </c>
      <c r="G31" s="190">
        <v>2366666.67</v>
      </c>
      <c r="I31" s="188"/>
    </row>
    <row r="32">
      <c r="B32" s="145" t="s">
        <v>10</v>
      </c>
      <c r="C32" s="145" t="s">
        <v>28</v>
      </c>
      <c r="D32" s="145" t="s">
        <v>128</v>
      </c>
      <c r="E32" s="189">
        <v>0.0</v>
      </c>
      <c r="F32" s="189">
        <v>0.0</v>
      </c>
      <c r="G32" s="190">
        <v>2366666.67</v>
      </c>
      <c r="I32" s="188"/>
    </row>
    <row r="33">
      <c r="B33" s="145" t="s">
        <v>10</v>
      </c>
      <c r="C33" s="145" t="s">
        <v>31</v>
      </c>
      <c r="D33" s="145" t="s">
        <v>128</v>
      </c>
      <c r="E33" s="189">
        <v>0.0</v>
      </c>
      <c r="F33" s="189">
        <v>0.0</v>
      </c>
      <c r="G33" s="190">
        <v>2366666.67</v>
      </c>
      <c r="I33" s="188"/>
    </row>
    <row r="34">
      <c r="B34" s="145" t="s">
        <v>10</v>
      </c>
      <c r="C34" s="145" t="s">
        <v>33</v>
      </c>
      <c r="D34" s="145" t="s">
        <v>128</v>
      </c>
      <c r="E34" s="189">
        <v>0.0</v>
      </c>
      <c r="F34" s="189">
        <v>0.0</v>
      </c>
      <c r="G34" s="190">
        <v>2366666.67</v>
      </c>
      <c r="I34" s="188"/>
    </row>
    <row r="35">
      <c r="B35" s="145" t="s">
        <v>10</v>
      </c>
      <c r="C35" s="145" t="s">
        <v>35</v>
      </c>
      <c r="D35" s="145" t="s">
        <v>128</v>
      </c>
      <c r="E35" s="189">
        <v>0.0</v>
      </c>
      <c r="F35" s="189">
        <v>0.0</v>
      </c>
      <c r="G35" s="190">
        <v>2366666.67</v>
      </c>
      <c r="I35" s="188"/>
    </row>
    <row r="36">
      <c r="B36" s="145" t="s">
        <v>10</v>
      </c>
      <c r="C36" s="145" t="s">
        <v>36</v>
      </c>
      <c r="D36" s="145" t="s">
        <v>128</v>
      </c>
      <c r="E36" s="189">
        <v>0.0</v>
      </c>
      <c r="F36" s="189">
        <v>0.0</v>
      </c>
      <c r="G36" s="190">
        <v>2366666.67</v>
      </c>
      <c r="I36" s="188"/>
    </row>
    <row r="37">
      <c r="B37" s="145" t="s">
        <v>10</v>
      </c>
      <c r="C37" s="145" t="s">
        <v>37</v>
      </c>
      <c r="D37" s="145" t="s">
        <v>128</v>
      </c>
      <c r="E37" s="189">
        <v>0.0</v>
      </c>
      <c r="F37" s="189">
        <v>0.0</v>
      </c>
      <c r="G37" s="190">
        <v>2366666.67</v>
      </c>
      <c r="I37" s="188"/>
    </row>
    <row r="38">
      <c r="B38" s="145" t="s">
        <v>10</v>
      </c>
      <c r="C38" s="145" t="s">
        <v>38</v>
      </c>
      <c r="D38" s="145" t="s">
        <v>128</v>
      </c>
      <c r="E38" s="189">
        <v>0.0</v>
      </c>
      <c r="F38" s="189">
        <v>0.0</v>
      </c>
      <c r="G38" s="190">
        <v>2366666.67</v>
      </c>
      <c r="I38" s="188"/>
    </row>
    <row r="39">
      <c r="B39" s="145" t="s">
        <v>10</v>
      </c>
      <c r="C39" s="145" t="s">
        <v>41</v>
      </c>
      <c r="D39" s="145" t="s">
        <v>128</v>
      </c>
      <c r="E39" s="189">
        <v>0.0</v>
      </c>
      <c r="F39" s="189">
        <v>0.0</v>
      </c>
      <c r="G39" s="190">
        <v>2366666.67</v>
      </c>
      <c r="I39" s="188"/>
    </row>
    <row r="40">
      <c r="B40" s="145" t="s">
        <v>10</v>
      </c>
      <c r="C40" s="145" t="s">
        <v>42</v>
      </c>
      <c r="D40" s="145" t="s">
        <v>128</v>
      </c>
      <c r="E40" s="189">
        <v>0.0</v>
      </c>
      <c r="F40" s="189">
        <v>0.0</v>
      </c>
      <c r="G40" s="190">
        <v>2366666.67</v>
      </c>
      <c r="I40" s="188"/>
    </row>
    <row r="41">
      <c r="B41" s="145" t="s">
        <v>10</v>
      </c>
      <c r="C41" s="145" t="s">
        <v>44</v>
      </c>
      <c r="D41" s="145" t="s">
        <v>128</v>
      </c>
      <c r="E41" s="189">
        <v>0.0</v>
      </c>
      <c r="F41" s="189">
        <v>0.0</v>
      </c>
      <c r="G41" s="190">
        <v>2366666.67</v>
      </c>
      <c r="I41" s="188"/>
    </row>
    <row r="42">
      <c r="B42" s="145" t="s">
        <v>10</v>
      </c>
      <c r="C42" s="145" t="s">
        <v>46</v>
      </c>
      <c r="D42" s="145" t="s">
        <v>128</v>
      </c>
      <c r="E42" s="189">
        <v>0.0</v>
      </c>
      <c r="F42" s="189">
        <v>0.0</v>
      </c>
      <c r="G42" s="190">
        <v>2366666.67</v>
      </c>
      <c r="I42" s="188"/>
    </row>
    <row r="43">
      <c r="B43" s="145" t="s">
        <v>10</v>
      </c>
      <c r="C43" s="145" t="s">
        <v>47</v>
      </c>
      <c r="D43" s="145" t="s">
        <v>128</v>
      </c>
      <c r="E43" s="189">
        <v>0.0</v>
      </c>
      <c r="F43" s="189">
        <v>0.0</v>
      </c>
      <c r="G43" s="190">
        <v>2366666.67</v>
      </c>
      <c r="I43" s="188"/>
    </row>
    <row r="44">
      <c r="B44" s="145" t="s">
        <v>10</v>
      </c>
      <c r="C44" s="145" t="s">
        <v>49</v>
      </c>
      <c r="D44" s="145" t="s">
        <v>128</v>
      </c>
      <c r="E44" s="189">
        <v>0.0</v>
      </c>
      <c r="F44" s="189">
        <v>0.0</v>
      </c>
      <c r="G44" s="190">
        <v>2366666.67</v>
      </c>
      <c r="I44" s="188"/>
    </row>
    <row r="45">
      <c r="B45" s="145" t="s">
        <v>10</v>
      </c>
      <c r="C45" s="145" t="s">
        <v>50</v>
      </c>
      <c r="D45" s="145" t="s">
        <v>128</v>
      </c>
      <c r="E45" s="189">
        <v>0.0</v>
      </c>
      <c r="F45" s="189">
        <v>0.0</v>
      </c>
      <c r="G45" s="190">
        <v>2366666.67</v>
      </c>
      <c r="I45" s="188"/>
    </row>
    <row r="46">
      <c r="B46" s="145" t="s">
        <v>10</v>
      </c>
      <c r="C46" s="145" t="s">
        <v>51</v>
      </c>
      <c r="D46" s="145" t="s">
        <v>128</v>
      </c>
      <c r="E46" s="189">
        <v>0.0</v>
      </c>
      <c r="F46" s="189">
        <v>0.0</v>
      </c>
      <c r="G46" s="190">
        <v>2366666.67</v>
      </c>
      <c r="I46" s="188"/>
    </row>
    <row r="47">
      <c r="B47" s="145" t="s">
        <v>10</v>
      </c>
      <c r="C47" s="145" t="s">
        <v>52</v>
      </c>
      <c r="D47" s="145" t="s">
        <v>128</v>
      </c>
      <c r="E47" s="189">
        <v>0.0</v>
      </c>
      <c r="F47" s="189">
        <v>0.0</v>
      </c>
      <c r="G47" s="190">
        <v>2366666.67</v>
      </c>
      <c r="I47" s="188"/>
    </row>
    <row r="48">
      <c r="B48" s="145" t="s">
        <v>10</v>
      </c>
      <c r="C48" s="145" t="s">
        <v>53</v>
      </c>
      <c r="D48" s="145" t="s">
        <v>128</v>
      </c>
      <c r="E48" s="189">
        <v>0.0</v>
      </c>
      <c r="F48" s="189">
        <v>0.0</v>
      </c>
      <c r="G48" s="190">
        <v>2366666.67</v>
      </c>
      <c r="I48" s="188"/>
    </row>
    <row r="49">
      <c r="B49" s="145" t="s">
        <v>10</v>
      </c>
      <c r="C49" s="145" t="s">
        <v>54</v>
      </c>
      <c r="D49" s="145" t="s">
        <v>128</v>
      </c>
      <c r="E49" s="189">
        <v>0.0</v>
      </c>
      <c r="F49" s="189">
        <v>0.0</v>
      </c>
      <c r="G49" s="190">
        <v>2366666.67</v>
      </c>
      <c r="I49" s="188"/>
    </row>
    <row r="50">
      <c r="B50" s="145" t="s">
        <v>10</v>
      </c>
      <c r="C50" s="145" t="s">
        <v>17</v>
      </c>
      <c r="D50" s="145" t="s">
        <v>13</v>
      </c>
      <c r="E50" s="189">
        <v>3599170.25</v>
      </c>
      <c r="F50" s="189">
        <v>3599170.25</v>
      </c>
      <c r="G50" s="190">
        <v>8.283333333E7</v>
      </c>
      <c r="I50" s="188"/>
    </row>
    <row r="51">
      <c r="B51" s="145" t="s">
        <v>10</v>
      </c>
      <c r="C51" s="145" t="s">
        <v>23</v>
      </c>
      <c r="D51" s="145" t="s">
        <v>13</v>
      </c>
      <c r="E51" s="189">
        <v>4232023.9</v>
      </c>
      <c r="F51" s="189">
        <v>4232023.9</v>
      </c>
      <c r="G51" s="190">
        <v>8.283333333E7</v>
      </c>
      <c r="I51" s="188"/>
    </row>
    <row r="52">
      <c r="B52" s="145" t="s">
        <v>10</v>
      </c>
      <c r="C52" s="145" t="s">
        <v>26</v>
      </c>
      <c r="D52" s="145" t="s">
        <v>13</v>
      </c>
      <c r="E52" s="189">
        <v>4390444.5</v>
      </c>
      <c r="F52" s="189">
        <v>4390444.5</v>
      </c>
      <c r="G52" s="190">
        <v>8.283333333E7</v>
      </c>
      <c r="I52" s="188"/>
    </row>
    <row r="53">
      <c r="B53" s="145" t="s">
        <v>10</v>
      </c>
      <c r="C53" s="145" t="s">
        <v>29</v>
      </c>
      <c r="D53" s="145" t="s">
        <v>13</v>
      </c>
      <c r="E53" s="189">
        <v>3376847.93</v>
      </c>
      <c r="F53" s="189">
        <v>3475407.68</v>
      </c>
      <c r="G53" s="190">
        <v>8.283333333E7</v>
      </c>
      <c r="I53" s="188"/>
    </row>
    <row r="54">
      <c r="B54" s="145" t="s">
        <v>10</v>
      </c>
      <c r="C54" s="145" t="s">
        <v>25</v>
      </c>
      <c r="D54" s="145" t="s">
        <v>127</v>
      </c>
      <c r="E54" s="189">
        <v>3317618.88</v>
      </c>
      <c r="F54" s="189">
        <v>3317618.88</v>
      </c>
      <c r="G54" s="190">
        <v>4.733333333E7</v>
      </c>
      <c r="I54" s="188"/>
    </row>
    <row r="55">
      <c r="B55" s="145" t="s">
        <v>10</v>
      </c>
      <c r="C55" s="145" t="s">
        <v>32</v>
      </c>
      <c r="D55" s="145" t="s">
        <v>127</v>
      </c>
      <c r="E55" s="189">
        <v>4115638.8</v>
      </c>
      <c r="F55" s="189">
        <v>4115638.8</v>
      </c>
      <c r="G55" s="190">
        <v>4.733333333E7</v>
      </c>
      <c r="I55" s="188"/>
    </row>
    <row r="56">
      <c r="B56" s="145" t="s">
        <v>10</v>
      </c>
      <c r="C56" s="145" t="s">
        <v>34</v>
      </c>
      <c r="D56" s="145" t="s">
        <v>127</v>
      </c>
      <c r="E56" s="189">
        <v>3625473.8</v>
      </c>
      <c r="F56" s="189">
        <v>3625473.8</v>
      </c>
      <c r="G56" s="190">
        <v>4.733333333E7</v>
      </c>
      <c r="I56" s="188"/>
    </row>
    <row r="57">
      <c r="B57" s="145" t="s">
        <v>10</v>
      </c>
      <c r="C57" s="145" t="s">
        <v>39</v>
      </c>
      <c r="D57" s="145" t="s">
        <v>127</v>
      </c>
      <c r="E57" s="189">
        <v>3786863.26</v>
      </c>
      <c r="F57" s="189">
        <v>3795823.23</v>
      </c>
      <c r="G57" s="190">
        <v>4.733333333E7</v>
      </c>
      <c r="I57" s="188"/>
    </row>
    <row r="58">
      <c r="B58" s="145" t="s">
        <v>10</v>
      </c>
      <c r="C58" s="145" t="s">
        <v>40</v>
      </c>
      <c r="D58" s="145" t="s">
        <v>127</v>
      </c>
      <c r="E58" s="189">
        <v>3512145.95</v>
      </c>
      <c r="F58" s="189">
        <v>3512145.95</v>
      </c>
      <c r="G58" s="190">
        <v>4.733333333E7</v>
      </c>
      <c r="I58" s="188"/>
    </row>
    <row r="59">
      <c r="B59" s="145" t="s">
        <v>10</v>
      </c>
      <c r="C59" s="145" t="s">
        <v>43</v>
      </c>
      <c r="D59" s="145" t="s">
        <v>127</v>
      </c>
      <c r="E59" s="189">
        <v>4115638.8</v>
      </c>
      <c r="F59" s="189">
        <v>4115638.8</v>
      </c>
      <c r="G59" s="190">
        <v>4.733333333E7</v>
      </c>
      <c r="I59" s="188"/>
    </row>
    <row r="60">
      <c r="B60" s="145" t="s">
        <v>10</v>
      </c>
      <c r="C60" s="145" t="s">
        <v>45</v>
      </c>
      <c r="D60" s="145" t="s">
        <v>127</v>
      </c>
      <c r="E60" s="189">
        <v>4115638.8</v>
      </c>
      <c r="F60" s="189">
        <v>4115638.8</v>
      </c>
      <c r="G60" s="190">
        <v>4.733333333E7</v>
      </c>
      <c r="I60" s="188"/>
    </row>
    <row r="61">
      <c r="B61" s="145" t="s">
        <v>10</v>
      </c>
      <c r="C61" s="145" t="s">
        <v>48</v>
      </c>
      <c r="D61" s="145" t="s">
        <v>127</v>
      </c>
      <c r="E61" s="189">
        <v>3254854.2</v>
      </c>
      <c r="F61" s="189">
        <v>3254854.2</v>
      </c>
      <c r="G61" s="190">
        <v>4.733333333E7</v>
      </c>
      <c r="I61" s="188"/>
    </row>
    <row r="62">
      <c r="A62" s="4" t="s">
        <v>390</v>
      </c>
      <c r="B62" s="145"/>
      <c r="C62" s="145"/>
      <c r="D62" s="145"/>
      <c r="E62" s="189"/>
      <c r="F62" s="189"/>
      <c r="I62" s="188"/>
    </row>
    <row r="63">
      <c r="A63" s="4" t="s">
        <v>391</v>
      </c>
      <c r="I63" s="188"/>
    </row>
    <row r="64">
      <c r="I64" s="188"/>
    </row>
    <row r="65">
      <c r="I65" s="188"/>
    </row>
    <row r="66">
      <c r="I66" s="188"/>
    </row>
    <row r="67">
      <c r="I67" s="188"/>
    </row>
    <row r="68">
      <c r="I68" s="188"/>
    </row>
    <row r="69">
      <c r="I69" s="188"/>
    </row>
    <row r="70">
      <c r="I70" s="188"/>
    </row>
    <row r="71">
      <c r="I71" s="188"/>
    </row>
    <row r="72">
      <c r="I72" s="188"/>
    </row>
    <row r="73">
      <c r="I73" s="188"/>
    </row>
    <row r="74">
      <c r="I74" s="188"/>
    </row>
    <row r="75">
      <c r="I75" s="188"/>
    </row>
    <row r="76">
      <c r="I76" s="188"/>
    </row>
    <row r="77">
      <c r="I77" s="188"/>
    </row>
    <row r="78">
      <c r="I78" s="188"/>
    </row>
    <row r="79">
      <c r="I79" s="18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3.88"/>
    <col customWidth="1" min="8" max="8" width="14.63"/>
    <col customWidth="1" min="9" max="9" width="16.25"/>
    <col customWidth="1" min="10" max="10" width="6.0"/>
    <col customWidth="1" min="12" max="12" width="16.25"/>
    <col customWidth="1" min="13" max="13" width="6.38"/>
    <col customWidth="1" min="15" max="15" width="16.25"/>
  </cols>
  <sheetData>
    <row r="1">
      <c r="H1" s="4" t="s">
        <v>392</v>
      </c>
    </row>
    <row r="2">
      <c r="H2" s="191" t="s">
        <v>393</v>
      </c>
      <c r="K2" s="191" t="s">
        <v>394</v>
      </c>
      <c r="N2" s="191" t="s">
        <v>395</v>
      </c>
    </row>
    <row r="3">
      <c r="B3" s="192" t="s">
        <v>253</v>
      </c>
      <c r="C3" s="193" t="s">
        <v>94</v>
      </c>
      <c r="D3" s="193" t="s">
        <v>0</v>
      </c>
      <c r="E3" s="194" t="s">
        <v>316</v>
      </c>
      <c r="G3" s="195" t="s">
        <v>253</v>
      </c>
      <c r="H3" s="196" t="s">
        <v>128</v>
      </c>
      <c r="I3" s="196" t="s">
        <v>396</v>
      </c>
      <c r="K3" s="196" t="s">
        <v>128</v>
      </c>
      <c r="L3" s="196" t="s">
        <v>396</v>
      </c>
      <c r="N3" s="196" t="s">
        <v>128</v>
      </c>
      <c r="O3" s="196" t="s">
        <v>396</v>
      </c>
    </row>
    <row r="4">
      <c r="B4" s="197" t="s">
        <v>283</v>
      </c>
      <c r="C4" s="197" t="s">
        <v>57</v>
      </c>
      <c r="D4" s="197" t="s">
        <v>128</v>
      </c>
      <c r="E4" s="197">
        <v>500.0</v>
      </c>
      <c r="F4" s="7">
        <f t="shared" ref="F4:F30" si="1">4*E4</f>
        <v>2000</v>
      </c>
      <c r="G4" s="143" t="s">
        <v>311</v>
      </c>
      <c r="H4" s="143" t="s">
        <v>86</v>
      </c>
      <c r="I4" s="143">
        <v>1000.0</v>
      </c>
      <c r="J4" s="7">
        <f t="shared" ref="J4:J13" si="2">4*I4</f>
        <v>4000</v>
      </c>
      <c r="K4" s="143" t="s">
        <v>33</v>
      </c>
      <c r="L4" s="143">
        <v>400.0</v>
      </c>
      <c r="M4" s="7">
        <f t="shared" ref="M4:M16" si="3">4*L4</f>
        <v>1600</v>
      </c>
      <c r="N4" s="143" t="s">
        <v>397</v>
      </c>
      <c r="O4" s="143">
        <v>400.0</v>
      </c>
      <c r="P4" s="7">
        <f t="shared" ref="P4:P7" si="4">4*O4</f>
        <v>1600</v>
      </c>
    </row>
    <row r="5">
      <c r="B5" s="197" t="s">
        <v>281</v>
      </c>
      <c r="C5" s="197" t="s">
        <v>60</v>
      </c>
      <c r="D5" s="197" t="s">
        <v>128</v>
      </c>
      <c r="E5" s="197">
        <v>400.0</v>
      </c>
      <c r="F5" s="7">
        <f t="shared" si="1"/>
        <v>1600</v>
      </c>
      <c r="G5" s="143" t="s">
        <v>302</v>
      </c>
      <c r="H5" s="143" t="s">
        <v>67</v>
      </c>
      <c r="I5" s="143">
        <v>400.0</v>
      </c>
      <c r="J5" s="7">
        <f t="shared" si="2"/>
        <v>1600</v>
      </c>
      <c r="K5" s="143" t="s">
        <v>35</v>
      </c>
      <c r="L5" s="143">
        <v>400.0</v>
      </c>
      <c r="M5" s="7">
        <f t="shared" si="3"/>
        <v>1600</v>
      </c>
      <c r="N5" s="143" t="s">
        <v>91</v>
      </c>
      <c r="O5" s="143">
        <v>300.0</v>
      </c>
      <c r="P5" s="7">
        <f t="shared" si="4"/>
        <v>1200</v>
      </c>
    </row>
    <row r="6">
      <c r="B6" s="197" t="s">
        <v>288</v>
      </c>
      <c r="C6" s="197" t="s">
        <v>22</v>
      </c>
      <c r="D6" s="197" t="s">
        <v>128</v>
      </c>
      <c r="E6" s="197">
        <v>500.0</v>
      </c>
      <c r="F6" s="7">
        <f t="shared" si="1"/>
        <v>2000</v>
      </c>
      <c r="G6" s="143" t="s">
        <v>305</v>
      </c>
      <c r="H6" s="143" t="s">
        <v>71</v>
      </c>
      <c r="I6" s="143">
        <v>400.0</v>
      </c>
      <c r="J6" s="7">
        <f t="shared" si="2"/>
        <v>1600</v>
      </c>
      <c r="K6" s="143" t="s">
        <v>36</v>
      </c>
      <c r="L6" s="143">
        <v>400.0</v>
      </c>
      <c r="M6" s="7">
        <f t="shared" si="3"/>
        <v>1600</v>
      </c>
      <c r="N6" s="143" t="s">
        <v>89</v>
      </c>
      <c r="O6" s="143">
        <v>600.0</v>
      </c>
      <c r="P6" s="7">
        <f t="shared" si="4"/>
        <v>2400</v>
      </c>
    </row>
    <row r="7">
      <c r="B7" s="197" t="s">
        <v>284</v>
      </c>
      <c r="C7" s="197" t="s">
        <v>61</v>
      </c>
      <c r="D7" s="197" t="s">
        <v>128</v>
      </c>
      <c r="E7" s="197">
        <v>800.0</v>
      </c>
      <c r="F7" s="7">
        <f t="shared" si="1"/>
        <v>3200</v>
      </c>
      <c r="G7" s="143" t="s">
        <v>281</v>
      </c>
      <c r="H7" s="143" t="s">
        <v>60</v>
      </c>
      <c r="I7" s="143">
        <v>400.0</v>
      </c>
      <c r="J7" s="7">
        <f t="shared" si="2"/>
        <v>1600</v>
      </c>
      <c r="K7" s="143" t="s">
        <v>44</v>
      </c>
      <c r="L7" s="143">
        <v>400.0</v>
      </c>
      <c r="M7" s="7">
        <f t="shared" si="3"/>
        <v>1600</v>
      </c>
      <c r="N7" s="143" t="s">
        <v>90</v>
      </c>
      <c r="O7" s="143">
        <v>500.0</v>
      </c>
      <c r="P7" s="7">
        <f t="shared" si="4"/>
        <v>2000</v>
      </c>
    </row>
    <row r="8">
      <c r="B8" s="197" t="s">
        <v>292</v>
      </c>
      <c r="C8" s="197" t="s">
        <v>28</v>
      </c>
      <c r="D8" s="197" t="s">
        <v>128</v>
      </c>
      <c r="E8" s="197">
        <v>500.0</v>
      </c>
      <c r="F8" s="7">
        <f t="shared" si="1"/>
        <v>2000</v>
      </c>
      <c r="G8" s="143" t="s">
        <v>310</v>
      </c>
      <c r="H8" s="143" t="s">
        <v>82</v>
      </c>
      <c r="I8" s="143">
        <v>400.0</v>
      </c>
      <c r="J8" s="7">
        <f t="shared" si="2"/>
        <v>1600</v>
      </c>
      <c r="K8" s="143" t="s">
        <v>50</v>
      </c>
      <c r="L8" s="143">
        <v>400.0</v>
      </c>
      <c r="M8" s="7">
        <f t="shared" si="3"/>
        <v>1600</v>
      </c>
    </row>
    <row r="9">
      <c r="B9" s="197" t="s">
        <v>287</v>
      </c>
      <c r="C9" s="197" t="s">
        <v>318</v>
      </c>
      <c r="D9" s="197" t="s">
        <v>128</v>
      </c>
      <c r="E9" s="197">
        <v>200.0</v>
      </c>
      <c r="F9" s="7">
        <f t="shared" si="1"/>
        <v>800</v>
      </c>
      <c r="G9" s="143" t="s">
        <v>286</v>
      </c>
      <c r="H9" s="143" t="s">
        <v>75</v>
      </c>
      <c r="I9" s="143">
        <v>800.0</v>
      </c>
      <c r="J9" s="7">
        <f t="shared" si="2"/>
        <v>3200</v>
      </c>
      <c r="K9" s="143" t="s">
        <v>51</v>
      </c>
      <c r="L9" s="143">
        <v>400.0</v>
      </c>
      <c r="M9" s="7">
        <f t="shared" si="3"/>
        <v>1600</v>
      </c>
    </row>
    <row r="10">
      <c r="B10" s="197" t="s">
        <v>298</v>
      </c>
      <c r="C10" s="197" t="s">
        <v>33</v>
      </c>
      <c r="D10" s="197" t="s">
        <v>128</v>
      </c>
      <c r="E10" s="197">
        <v>400.0</v>
      </c>
      <c r="F10" s="7">
        <f t="shared" si="1"/>
        <v>1600</v>
      </c>
      <c r="G10" s="143" t="s">
        <v>284</v>
      </c>
      <c r="H10" s="143" t="s">
        <v>61</v>
      </c>
      <c r="I10" s="143">
        <v>800.0</v>
      </c>
      <c r="J10" s="7">
        <f t="shared" si="2"/>
        <v>3200</v>
      </c>
      <c r="K10" s="143" t="s">
        <v>28</v>
      </c>
      <c r="L10" s="143">
        <v>500.0</v>
      </c>
      <c r="M10" s="7">
        <f t="shared" si="3"/>
        <v>2000</v>
      </c>
    </row>
    <row r="11">
      <c r="B11" s="197" t="s">
        <v>299</v>
      </c>
      <c r="C11" s="197" t="s">
        <v>35</v>
      </c>
      <c r="D11" s="197" t="s">
        <v>128</v>
      </c>
      <c r="E11" s="197">
        <v>400.0</v>
      </c>
      <c r="F11" s="7">
        <f t="shared" si="1"/>
        <v>1600</v>
      </c>
      <c r="G11" s="143" t="s">
        <v>276</v>
      </c>
      <c r="H11" s="143" t="s">
        <v>73</v>
      </c>
      <c r="I11" s="143">
        <v>600.0</v>
      </c>
      <c r="J11" s="7">
        <f t="shared" si="2"/>
        <v>2400</v>
      </c>
      <c r="K11" s="143" t="s">
        <v>398</v>
      </c>
      <c r="L11" s="143">
        <v>500.0</v>
      </c>
      <c r="M11" s="7">
        <f t="shared" si="3"/>
        <v>2000</v>
      </c>
    </row>
    <row r="12">
      <c r="B12" s="197" t="s">
        <v>300</v>
      </c>
      <c r="C12" s="197" t="s">
        <v>36</v>
      </c>
      <c r="D12" s="197" t="s">
        <v>128</v>
      </c>
      <c r="E12" s="197">
        <v>400.0</v>
      </c>
      <c r="F12" s="7">
        <f t="shared" si="1"/>
        <v>1600</v>
      </c>
      <c r="G12" s="143" t="s">
        <v>283</v>
      </c>
      <c r="H12" s="143" t="s">
        <v>57</v>
      </c>
      <c r="I12" s="143">
        <v>500.0</v>
      </c>
      <c r="J12" s="7">
        <f t="shared" si="2"/>
        <v>2000</v>
      </c>
      <c r="K12" s="143" t="s">
        <v>53</v>
      </c>
      <c r="L12" s="143">
        <v>500.0</v>
      </c>
      <c r="M12" s="7">
        <f t="shared" si="3"/>
        <v>2000</v>
      </c>
    </row>
    <row r="13">
      <c r="B13" s="197" t="s">
        <v>302</v>
      </c>
      <c r="C13" s="197" t="s">
        <v>67</v>
      </c>
      <c r="D13" s="197" t="s">
        <v>128</v>
      </c>
      <c r="E13" s="197">
        <v>400.0</v>
      </c>
      <c r="F13" s="7">
        <f t="shared" si="1"/>
        <v>1600</v>
      </c>
      <c r="G13" s="143" t="s">
        <v>287</v>
      </c>
      <c r="H13" s="143" t="s">
        <v>318</v>
      </c>
      <c r="I13" s="143">
        <v>200.0</v>
      </c>
      <c r="J13" s="7">
        <f t="shared" si="2"/>
        <v>800</v>
      </c>
      <c r="K13" s="143" t="s">
        <v>22</v>
      </c>
      <c r="L13" s="143">
        <v>500.0</v>
      </c>
      <c r="M13" s="7">
        <f t="shared" si="3"/>
        <v>2000</v>
      </c>
    </row>
    <row r="14">
      <c r="B14" s="197" t="s">
        <v>301</v>
      </c>
      <c r="C14" s="197" t="s">
        <v>41</v>
      </c>
      <c r="D14" s="197" t="s">
        <v>128</v>
      </c>
      <c r="E14" s="197">
        <v>500.0</v>
      </c>
      <c r="F14" s="7">
        <f t="shared" si="1"/>
        <v>2000</v>
      </c>
      <c r="K14" s="143" t="s">
        <v>47</v>
      </c>
      <c r="L14" s="143">
        <v>500.0</v>
      </c>
      <c r="M14" s="7">
        <f t="shared" si="3"/>
        <v>2000</v>
      </c>
    </row>
    <row r="15">
      <c r="B15" s="197" t="s">
        <v>289</v>
      </c>
      <c r="C15" s="197" t="s">
        <v>42</v>
      </c>
      <c r="D15" s="197" t="s">
        <v>128</v>
      </c>
      <c r="E15" s="197">
        <v>350.0</v>
      </c>
      <c r="F15" s="7">
        <f t="shared" si="1"/>
        <v>1400</v>
      </c>
      <c r="G15" s="7">
        <f>100/15</f>
        <v>6.666666667</v>
      </c>
      <c r="K15" s="143" t="s">
        <v>49</v>
      </c>
      <c r="L15" s="143">
        <v>500.0</v>
      </c>
      <c r="M15" s="7">
        <f t="shared" si="3"/>
        <v>2000</v>
      </c>
    </row>
    <row r="16">
      <c r="B16" s="197" t="s">
        <v>305</v>
      </c>
      <c r="C16" s="197" t="s">
        <v>71</v>
      </c>
      <c r="D16" s="197" t="s">
        <v>128</v>
      </c>
      <c r="E16" s="197">
        <v>400.0</v>
      </c>
      <c r="F16" s="7">
        <f t="shared" si="1"/>
        <v>1600</v>
      </c>
      <c r="K16" s="143" t="s">
        <v>42</v>
      </c>
      <c r="L16" s="143">
        <v>350.0</v>
      </c>
      <c r="M16" s="7">
        <f t="shared" si="3"/>
        <v>1400</v>
      </c>
    </row>
    <row r="17">
      <c r="B17" s="197" t="s">
        <v>295</v>
      </c>
      <c r="C17" s="197" t="s">
        <v>44</v>
      </c>
      <c r="D17" s="197" t="s">
        <v>128</v>
      </c>
      <c r="E17" s="197">
        <v>400.0</v>
      </c>
      <c r="F17" s="7">
        <f t="shared" si="1"/>
        <v>1600</v>
      </c>
    </row>
    <row r="18">
      <c r="B18" s="197" t="s">
        <v>276</v>
      </c>
      <c r="C18" s="197" t="s">
        <v>73</v>
      </c>
      <c r="D18" s="197" t="s">
        <v>128</v>
      </c>
      <c r="E18" s="197">
        <v>600.0</v>
      </c>
      <c r="F18" s="7">
        <f t="shared" si="1"/>
        <v>2400</v>
      </c>
    </row>
    <row r="19">
      <c r="B19" s="197" t="s">
        <v>308</v>
      </c>
      <c r="C19" s="197" t="s">
        <v>47</v>
      </c>
      <c r="D19" s="197" t="s">
        <v>128</v>
      </c>
      <c r="E19" s="197">
        <v>500.0</v>
      </c>
      <c r="F19" s="7">
        <f t="shared" si="1"/>
        <v>2000</v>
      </c>
      <c r="G19" s="4" t="s">
        <v>399</v>
      </c>
    </row>
    <row r="20">
      <c r="B20" s="197" t="s">
        <v>286</v>
      </c>
      <c r="C20" s="197" t="s">
        <v>75</v>
      </c>
      <c r="D20" s="197" t="s">
        <v>128</v>
      </c>
      <c r="E20" s="197">
        <v>800.0</v>
      </c>
      <c r="F20" s="7">
        <f t="shared" si="1"/>
        <v>3200</v>
      </c>
    </row>
    <row r="21">
      <c r="B21" s="197" t="s">
        <v>309</v>
      </c>
      <c r="C21" s="197" t="s">
        <v>49</v>
      </c>
      <c r="D21" s="197" t="s">
        <v>128</v>
      </c>
      <c r="E21" s="197">
        <v>500.0</v>
      </c>
      <c r="F21" s="7">
        <f t="shared" si="1"/>
        <v>2000</v>
      </c>
    </row>
    <row r="22">
      <c r="B22" s="197" t="s">
        <v>311</v>
      </c>
      <c r="C22" s="197" t="s">
        <v>86</v>
      </c>
      <c r="D22" s="197" t="s">
        <v>128</v>
      </c>
      <c r="E22" s="197">
        <v>1000.0</v>
      </c>
      <c r="F22" s="7">
        <f t="shared" si="1"/>
        <v>4000</v>
      </c>
    </row>
    <row r="23">
      <c r="B23" s="197" t="s">
        <v>304</v>
      </c>
      <c r="C23" s="197" t="s">
        <v>50</v>
      </c>
      <c r="D23" s="197" t="s">
        <v>128</v>
      </c>
      <c r="E23" s="197">
        <v>400.0</v>
      </c>
      <c r="F23" s="7">
        <f t="shared" si="1"/>
        <v>1600</v>
      </c>
    </row>
    <row r="24">
      <c r="B24" s="197" t="s">
        <v>310</v>
      </c>
      <c r="C24" s="197" t="s">
        <v>82</v>
      </c>
      <c r="D24" s="197" t="s">
        <v>128</v>
      </c>
      <c r="E24" s="197">
        <v>400.0</v>
      </c>
      <c r="F24" s="7">
        <f t="shared" si="1"/>
        <v>1600</v>
      </c>
    </row>
    <row r="25">
      <c r="B25" s="197" t="s">
        <v>306</v>
      </c>
      <c r="C25" s="197" t="s">
        <v>51</v>
      </c>
      <c r="D25" s="197" t="s">
        <v>128</v>
      </c>
      <c r="E25" s="197">
        <v>400.0</v>
      </c>
      <c r="F25" s="7">
        <f t="shared" si="1"/>
        <v>1600</v>
      </c>
    </row>
    <row r="26">
      <c r="B26" s="197" t="s">
        <v>313</v>
      </c>
      <c r="C26" s="197" t="s">
        <v>53</v>
      </c>
      <c r="D26" s="197" t="s">
        <v>128</v>
      </c>
      <c r="E26" s="197">
        <v>500.0</v>
      </c>
      <c r="F26" s="7">
        <f t="shared" si="1"/>
        <v>2000</v>
      </c>
    </row>
    <row r="27">
      <c r="B27" s="198" t="s">
        <v>12</v>
      </c>
      <c r="C27" s="198" t="s">
        <v>11</v>
      </c>
      <c r="D27" s="198" t="s">
        <v>13</v>
      </c>
      <c r="E27" s="198">
        <v>5280.0</v>
      </c>
      <c r="F27" s="7">
        <f t="shared" si="1"/>
        <v>21120</v>
      </c>
    </row>
    <row r="28">
      <c r="B28" s="198" t="s">
        <v>18</v>
      </c>
      <c r="C28" s="198" t="s">
        <v>17</v>
      </c>
      <c r="D28" s="198" t="s">
        <v>13</v>
      </c>
      <c r="E28" s="198">
        <v>1640.0</v>
      </c>
      <c r="F28" s="7">
        <f t="shared" si="1"/>
        <v>6560</v>
      </c>
    </row>
    <row r="29">
      <c r="B29" s="198" t="s">
        <v>21</v>
      </c>
      <c r="C29" s="198" t="s">
        <v>20</v>
      </c>
      <c r="D29" s="198" t="s">
        <v>13</v>
      </c>
      <c r="E29" s="198">
        <v>1600.0</v>
      </c>
      <c r="F29" s="7">
        <f t="shared" si="1"/>
        <v>6400</v>
      </c>
    </row>
    <row r="30">
      <c r="B30" s="198" t="s">
        <v>24</v>
      </c>
      <c r="C30" s="198" t="s">
        <v>23</v>
      </c>
      <c r="D30" s="198" t="s">
        <v>13</v>
      </c>
      <c r="E30" s="198">
        <v>2920.0</v>
      </c>
      <c r="F30" s="7">
        <f t="shared" si="1"/>
        <v>11680</v>
      </c>
    </row>
    <row r="31">
      <c r="B31" s="198" t="s">
        <v>27</v>
      </c>
      <c r="C31" s="198" t="s">
        <v>26</v>
      </c>
      <c r="D31" s="198" t="s">
        <v>13</v>
      </c>
      <c r="E31" s="198">
        <v>3400.0</v>
      </c>
      <c r="K31" s="15" t="s">
        <v>271</v>
      </c>
      <c r="L31" s="15" t="s">
        <v>278</v>
      </c>
      <c r="M31" s="15" t="s">
        <v>279</v>
      </c>
      <c r="N31" s="15" t="s">
        <v>272</v>
      </c>
      <c r="O31" s="15" t="s">
        <v>280</v>
      </c>
    </row>
    <row r="32">
      <c r="B32" s="198" t="s">
        <v>30</v>
      </c>
      <c r="C32" s="198" t="s">
        <v>29</v>
      </c>
      <c r="D32" s="198" t="s">
        <v>13</v>
      </c>
      <c r="E32" s="198">
        <v>1560.0</v>
      </c>
      <c r="K32" s="17" t="s">
        <v>65</v>
      </c>
      <c r="L32" s="17" t="s">
        <v>58</v>
      </c>
      <c r="M32" s="17" t="s">
        <v>70</v>
      </c>
      <c r="N32" s="17" t="s">
        <v>73</v>
      </c>
      <c r="O32" s="8">
        <v>161958.0</v>
      </c>
    </row>
    <row r="33">
      <c r="B33" s="198" t="s">
        <v>65</v>
      </c>
      <c r="C33" s="198" t="s">
        <v>58</v>
      </c>
      <c r="D33" s="198" t="s">
        <v>66</v>
      </c>
      <c r="E33" s="198">
        <v>2880.0</v>
      </c>
      <c r="K33" s="17" t="s">
        <v>68</v>
      </c>
      <c r="L33" s="17" t="s">
        <v>59</v>
      </c>
      <c r="M33" s="17" t="s">
        <v>65</v>
      </c>
      <c r="N33" s="17" t="s">
        <v>60</v>
      </c>
      <c r="O33" s="8">
        <v>144846.0</v>
      </c>
    </row>
    <row r="34">
      <c r="B34" s="198" t="s">
        <v>68</v>
      </c>
      <c r="C34" s="198" t="s">
        <v>59</v>
      </c>
      <c r="D34" s="198" t="s">
        <v>66</v>
      </c>
      <c r="E34" s="198">
        <v>5280.0</v>
      </c>
      <c r="K34" s="17" t="s">
        <v>68</v>
      </c>
      <c r="L34" s="17" t="s">
        <v>59</v>
      </c>
      <c r="M34" s="17" t="s">
        <v>65</v>
      </c>
      <c r="N34" s="17" t="s">
        <v>61</v>
      </c>
      <c r="O34" s="8">
        <v>203111.0</v>
      </c>
    </row>
    <row r="35">
      <c r="B35" s="198" t="s">
        <v>70</v>
      </c>
      <c r="C35" s="198" t="s">
        <v>62</v>
      </c>
      <c r="D35" s="198" t="s">
        <v>66</v>
      </c>
      <c r="E35" s="198">
        <v>520.0</v>
      </c>
      <c r="K35" s="17" t="s">
        <v>68</v>
      </c>
      <c r="L35" s="17" t="s">
        <v>59</v>
      </c>
      <c r="M35" s="17" t="s">
        <v>65</v>
      </c>
      <c r="N35" s="17" t="s">
        <v>75</v>
      </c>
      <c r="O35" s="8">
        <v>94264.0</v>
      </c>
    </row>
    <row r="36">
      <c r="B36" s="198" t="s">
        <v>72</v>
      </c>
      <c r="C36" s="198" t="s">
        <v>63</v>
      </c>
      <c r="D36" s="198" t="s">
        <v>66</v>
      </c>
      <c r="E36" s="198">
        <v>5280.0</v>
      </c>
      <c r="K36" s="17" t="s">
        <v>72</v>
      </c>
      <c r="L36" s="17" t="s">
        <v>63</v>
      </c>
      <c r="M36" s="17" t="s">
        <v>84</v>
      </c>
      <c r="N36" s="17" t="s">
        <v>64</v>
      </c>
      <c r="O36" s="17" t="s">
        <v>290</v>
      </c>
    </row>
    <row r="37">
      <c r="B37" s="198" t="s">
        <v>74</v>
      </c>
      <c r="C37" s="198" t="s">
        <v>69</v>
      </c>
      <c r="D37" s="198" t="s">
        <v>66</v>
      </c>
      <c r="E37" s="198">
        <v>1040.0</v>
      </c>
      <c r="K37" s="17" t="s">
        <v>24</v>
      </c>
      <c r="L37" s="17" t="s">
        <v>20</v>
      </c>
      <c r="M37" s="17" t="s">
        <v>267</v>
      </c>
      <c r="N37" s="17" t="s">
        <v>88</v>
      </c>
      <c r="O37" s="8">
        <v>440971.0</v>
      </c>
    </row>
    <row r="38">
      <c r="B38" s="198" t="s">
        <v>77</v>
      </c>
      <c r="C38" s="198" t="s">
        <v>76</v>
      </c>
      <c r="D38" s="198" t="s">
        <v>66</v>
      </c>
      <c r="E38" s="198">
        <v>5280.0</v>
      </c>
      <c r="K38" s="17" t="s">
        <v>261</v>
      </c>
      <c r="L38" s="17" t="s">
        <v>34</v>
      </c>
      <c r="M38" s="17" t="s">
        <v>295</v>
      </c>
      <c r="N38" s="17" t="s">
        <v>120</v>
      </c>
      <c r="O38" s="17">
        <v>134.66</v>
      </c>
    </row>
    <row r="39">
      <c r="B39" s="198" t="s">
        <v>79</v>
      </c>
      <c r="C39" s="198" t="s">
        <v>78</v>
      </c>
      <c r="D39" s="198" t="s">
        <v>66</v>
      </c>
      <c r="E39" s="198">
        <v>1800.0</v>
      </c>
      <c r="K39" s="17" t="s">
        <v>296</v>
      </c>
      <c r="L39" s="17" t="s">
        <v>297</v>
      </c>
      <c r="M39" s="17" t="s">
        <v>12</v>
      </c>
      <c r="N39" s="17" t="s">
        <v>11</v>
      </c>
      <c r="O39" s="8">
        <v>1044466.0</v>
      </c>
    </row>
    <row r="40">
      <c r="B40" s="198" t="s">
        <v>81</v>
      </c>
      <c r="C40" s="198" t="s">
        <v>80</v>
      </c>
      <c r="D40" s="198" t="s">
        <v>66</v>
      </c>
      <c r="E40" s="198">
        <v>1000.0</v>
      </c>
      <c r="K40" s="17" t="s">
        <v>296</v>
      </c>
      <c r="L40" s="17" t="s">
        <v>297</v>
      </c>
      <c r="M40" s="17" t="s">
        <v>24</v>
      </c>
      <c r="N40" s="17" t="s">
        <v>20</v>
      </c>
      <c r="O40" s="8">
        <v>1144628.0</v>
      </c>
    </row>
    <row r="41">
      <c r="B41" s="198" t="s">
        <v>84</v>
      </c>
      <c r="C41" s="198" t="s">
        <v>83</v>
      </c>
      <c r="D41" s="198" t="s">
        <v>66</v>
      </c>
      <c r="E41" s="198">
        <v>520.0</v>
      </c>
      <c r="K41" s="17" t="s">
        <v>27</v>
      </c>
      <c r="L41" s="17" t="s">
        <v>17</v>
      </c>
      <c r="M41" s="17" t="s">
        <v>266</v>
      </c>
      <c r="N41" s="17" t="s">
        <v>119</v>
      </c>
      <c r="O41" s="17">
        <v>275.58</v>
      </c>
    </row>
    <row r="42">
      <c r="B42" s="198" t="s">
        <v>259</v>
      </c>
      <c r="C42" s="198" t="s">
        <v>25</v>
      </c>
      <c r="D42" s="198" t="s">
        <v>127</v>
      </c>
      <c r="E42" s="198">
        <v>200.0</v>
      </c>
      <c r="K42" s="17" t="s">
        <v>27</v>
      </c>
      <c r="L42" s="17" t="s">
        <v>17</v>
      </c>
      <c r="M42" s="17" t="s">
        <v>301</v>
      </c>
      <c r="N42" s="17" t="s">
        <v>37</v>
      </c>
      <c r="O42" s="17">
        <v>154.22</v>
      </c>
    </row>
    <row r="43">
      <c r="B43" s="197"/>
      <c r="C43" s="197"/>
      <c r="D43" s="197"/>
      <c r="E43" s="197"/>
      <c r="K43" s="17" t="s">
        <v>27</v>
      </c>
      <c r="L43" s="17" t="s">
        <v>17</v>
      </c>
      <c r="M43" s="17" t="s">
        <v>293</v>
      </c>
      <c r="N43" s="17" t="s">
        <v>54</v>
      </c>
      <c r="O43" s="17">
        <v>13.78</v>
      </c>
    </row>
    <row r="44">
      <c r="B44" s="198" t="s">
        <v>260</v>
      </c>
      <c r="C44" s="198" t="s">
        <v>88</v>
      </c>
      <c r="D44" s="198" t="s">
        <v>127</v>
      </c>
      <c r="E44" s="198">
        <v>400.0</v>
      </c>
      <c r="K44" s="17" t="s">
        <v>24</v>
      </c>
      <c r="L44" s="17" t="s">
        <v>20</v>
      </c>
      <c r="M44" s="17" t="s">
        <v>262</v>
      </c>
      <c r="N44" s="17" t="s">
        <v>89</v>
      </c>
      <c r="O44" s="8">
        <v>1046393.0</v>
      </c>
    </row>
    <row r="45">
      <c r="B45" s="198" t="s">
        <v>261</v>
      </c>
      <c r="C45" s="198" t="s">
        <v>32</v>
      </c>
      <c r="D45" s="198" t="s">
        <v>127</v>
      </c>
      <c r="E45" s="198">
        <v>600.0</v>
      </c>
      <c r="K45" s="17" t="s">
        <v>24</v>
      </c>
      <c r="L45" s="17" t="s">
        <v>20</v>
      </c>
      <c r="M45" s="17" t="s">
        <v>264</v>
      </c>
      <c r="N45" s="17" t="s">
        <v>90</v>
      </c>
      <c r="O45" s="8">
        <v>924619.0</v>
      </c>
    </row>
    <row r="46">
      <c r="B46" s="198" t="s">
        <v>262</v>
      </c>
      <c r="C46" s="198" t="s">
        <v>34</v>
      </c>
      <c r="D46" s="198" t="s">
        <v>127</v>
      </c>
      <c r="E46" s="198">
        <v>1120.0</v>
      </c>
      <c r="K46" s="17" t="s">
        <v>24</v>
      </c>
      <c r="L46" s="17" t="s">
        <v>20</v>
      </c>
      <c r="M46" s="17" t="s">
        <v>269</v>
      </c>
      <c r="N46" s="17" t="s">
        <v>91</v>
      </c>
      <c r="O46" s="8">
        <v>179485.0</v>
      </c>
    </row>
    <row r="47">
      <c r="B47" s="198" t="s">
        <v>263</v>
      </c>
      <c r="C47" s="198" t="s">
        <v>89</v>
      </c>
      <c r="D47" s="198" t="s">
        <v>127</v>
      </c>
      <c r="E47" s="198">
        <v>1240.0</v>
      </c>
      <c r="K47" s="17" t="s">
        <v>12</v>
      </c>
      <c r="L47" s="17" t="s">
        <v>23</v>
      </c>
      <c r="M47" s="17" t="s">
        <v>263</v>
      </c>
      <c r="N47" s="17" t="s">
        <v>32</v>
      </c>
      <c r="O47" s="17">
        <v>194.85</v>
      </c>
    </row>
    <row r="48">
      <c r="B48" s="198" t="s">
        <v>264</v>
      </c>
      <c r="C48" s="198" t="s">
        <v>39</v>
      </c>
      <c r="D48" s="198" t="s">
        <v>127</v>
      </c>
      <c r="E48" s="198">
        <v>320.0</v>
      </c>
      <c r="K48" s="17" t="s">
        <v>12</v>
      </c>
      <c r="L48" s="17" t="s">
        <v>23</v>
      </c>
      <c r="M48" s="17" t="s">
        <v>302</v>
      </c>
      <c r="N48" s="17" t="s">
        <v>33</v>
      </c>
      <c r="O48" s="17">
        <v>200.0</v>
      </c>
    </row>
    <row r="49">
      <c r="B49" s="198" t="s">
        <v>265</v>
      </c>
      <c r="C49" s="198" t="s">
        <v>40</v>
      </c>
      <c r="D49" s="198" t="s">
        <v>127</v>
      </c>
      <c r="E49" s="198">
        <v>400.0</v>
      </c>
      <c r="K49" s="17" t="s">
        <v>12</v>
      </c>
      <c r="L49" s="17" t="s">
        <v>23</v>
      </c>
      <c r="M49" s="17" t="s">
        <v>291</v>
      </c>
      <c r="N49" s="17" t="s">
        <v>35</v>
      </c>
      <c r="O49" s="17">
        <v>16.37</v>
      </c>
    </row>
    <row r="50">
      <c r="B50" s="198" t="s">
        <v>266</v>
      </c>
      <c r="C50" s="198" t="s">
        <v>90</v>
      </c>
      <c r="D50" s="198" t="s">
        <v>127</v>
      </c>
      <c r="E50" s="198">
        <v>960.0</v>
      </c>
      <c r="K50" s="17" t="s">
        <v>12</v>
      </c>
      <c r="L50" s="17" t="s">
        <v>23</v>
      </c>
      <c r="M50" s="17" t="s">
        <v>303</v>
      </c>
      <c r="N50" s="17" t="s">
        <v>36</v>
      </c>
      <c r="O50" s="17">
        <v>97.42</v>
      </c>
    </row>
    <row r="51">
      <c r="B51" s="198" t="s">
        <v>267</v>
      </c>
      <c r="C51" s="198" t="s">
        <v>43</v>
      </c>
      <c r="D51" s="198" t="s">
        <v>127</v>
      </c>
      <c r="E51" s="198">
        <v>1640.0</v>
      </c>
      <c r="K51" s="17" t="s">
        <v>12</v>
      </c>
      <c r="L51" s="17" t="s">
        <v>23</v>
      </c>
      <c r="M51" s="17" t="s">
        <v>259</v>
      </c>
      <c r="N51" s="17" t="s">
        <v>43</v>
      </c>
      <c r="O51" s="17">
        <v>375.38</v>
      </c>
    </row>
    <row r="52">
      <c r="B52" s="198" t="s">
        <v>268</v>
      </c>
      <c r="C52" s="198" t="s">
        <v>45</v>
      </c>
      <c r="D52" s="198" t="s">
        <v>127</v>
      </c>
      <c r="E52" s="198">
        <v>1480.0</v>
      </c>
      <c r="K52" s="17" t="s">
        <v>12</v>
      </c>
      <c r="L52" s="17" t="s">
        <v>23</v>
      </c>
      <c r="M52" s="17" t="s">
        <v>276</v>
      </c>
      <c r="N52" s="17" t="s">
        <v>44</v>
      </c>
      <c r="O52" s="17">
        <v>55.23</v>
      </c>
    </row>
    <row r="53">
      <c r="B53" s="198" t="s">
        <v>269</v>
      </c>
      <c r="C53" s="198" t="s">
        <v>48</v>
      </c>
      <c r="D53" s="198" t="s">
        <v>127</v>
      </c>
      <c r="E53" s="198">
        <v>800.0</v>
      </c>
      <c r="K53" s="17" t="s">
        <v>12</v>
      </c>
      <c r="L53" s="17" t="s">
        <v>23</v>
      </c>
      <c r="M53" s="17" t="s">
        <v>306</v>
      </c>
      <c r="N53" s="17" t="s">
        <v>51</v>
      </c>
      <c r="O53" s="17">
        <v>41.33</v>
      </c>
    </row>
    <row r="54">
      <c r="B54" s="198" t="s">
        <v>270</v>
      </c>
      <c r="C54" s="198" t="s">
        <v>91</v>
      </c>
      <c r="D54" s="198" t="s">
        <v>127</v>
      </c>
      <c r="E54" s="198">
        <v>320.0</v>
      </c>
      <c r="K54" s="17" t="s">
        <v>260</v>
      </c>
      <c r="L54" s="17" t="s">
        <v>23</v>
      </c>
      <c r="M54" s="17" t="s">
        <v>310</v>
      </c>
      <c r="N54" s="17" t="s">
        <v>50</v>
      </c>
      <c r="O54" s="17">
        <v>224.38</v>
      </c>
    </row>
    <row r="55">
      <c r="B55" s="199" t="s">
        <v>285</v>
      </c>
      <c r="C55" s="199" t="s">
        <v>19</v>
      </c>
      <c r="D55" s="199" t="s">
        <v>128</v>
      </c>
      <c r="E55" s="197">
        <v>500.0</v>
      </c>
      <c r="K55" s="17" t="s">
        <v>21</v>
      </c>
      <c r="L55" s="17" t="s">
        <v>26</v>
      </c>
      <c r="M55" s="17" t="s">
        <v>284</v>
      </c>
      <c r="N55" s="17" t="s">
        <v>19</v>
      </c>
      <c r="O55" s="17">
        <v>55.4</v>
      </c>
    </row>
    <row r="56">
      <c r="C56" s="197"/>
      <c r="D56" s="197"/>
      <c r="E56" s="197"/>
      <c r="K56" s="17" t="s">
        <v>21</v>
      </c>
      <c r="L56" s="17" t="s">
        <v>26</v>
      </c>
      <c r="M56" s="17" t="s">
        <v>289</v>
      </c>
      <c r="N56" s="17" t="s">
        <v>38</v>
      </c>
      <c r="O56" s="17">
        <v>170.45</v>
      </c>
    </row>
    <row r="57">
      <c r="B57" s="197"/>
      <c r="C57" s="197"/>
      <c r="D57" s="197"/>
      <c r="E57" s="197"/>
      <c r="K57" s="17" t="s">
        <v>21</v>
      </c>
      <c r="L57" s="17" t="s">
        <v>26</v>
      </c>
      <c r="M57" s="17" t="s">
        <v>312</v>
      </c>
      <c r="N57" s="17" t="s">
        <v>52</v>
      </c>
      <c r="O57" s="17">
        <v>35.19</v>
      </c>
    </row>
    <row r="58">
      <c r="K58" s="17" t="s">
        <v>21</v>
      </c>
      <c r="L58" s="17" t="s">
        <v>26</v>
      </c>
      <c r="M58" s="17" t="s">
        <v>294</v>
      </c>
      <c r="N58" s="17" t="s">
        <v>31</v>
      </c>
      <c r="O58" s="200">
        <v>47.8</v>
      </c>
    </row>
    <row r="59">
      <c r="K59" s="17" t="s">
        <v>74</v>
      </c>
      <c r="L59" s="17" t="s">
        <v>69</v>
      </c>
      <c r="M59" s="17" t="s">
        <v>283</v>
      </c>
      <c r="N59" s="17" t="s">
        <v>118</v>
      </c>
      <c r="O59" s="8">
        <v>343092.0</v>
      </c>
    </row>
    <row r="60">
      <c r="K60" s="17" t="s">
        <v>259</v>
      </c>
      <c r="L60" s="17" t="s">
        <v>43</v>
      </c>
      <c r="M60" s="17" t="s">
        <v>298</v>
      </c>
      <c r="N60" s="17" t="s">
        <v>28</v>
      </c>
      <c r="O60" s="17">
        <v>49.98</v>
      </c>
    </row>
    <row r="61">
      <c r="K61" s="17" t="s">
        <v>259</v>
      </c>
      <c r="L61" s="17" t="s">
        <v>43</v>
      </c>
      <c r="M61" s="17" t="s">
        <v>313</v>
      </c>
      <c r="N61" s="17" t="s">
        <v>53</v>
      </c>
      <c r="O61" s="17">
        <v>72.18</v>
      </c>
    </row>
    <row r="62">
      <c r="K62" s="17" t="s">
        <v>259</v>
      </c>
      <c r="L62" s="17" t="s">
        <v>43</v>
      </c>
      <c r="M62" s="17" t="s">
        <v>305</v>
      </c>
      <c r="N62" s="17" t="s">
        <v>41</v>
      </c>
      <c r="O62" s="17">
        <v>138.45</v>
      </c>
    </row>
    <row r="63">
      <c r="K63" s="17" t="s">
        <v>30</v>
      </c>
      <c r="L63" s="17" t="s">
        <v>29</v>
      </c>
      <c r="M63" s="17" t="s">
        <v>268</v>
      </c>
      <c r="N63" s="17" t="s">
        <v>39</v>
      </c>
      <c r="O63" s="17">
        <v>589.5</v>
      </c>
    </row>
    <row r="64">
      <c r="K64" s="17" t="s">
        <v>30</v>
      </c>
      <c r="L64" s="17" t="s">
        <v>29</v>
      </c>
      <c r="M64" s="17" t="s">
        <v>270</v>
      </c>
      <c r="N64" s="17" t="s">
        <v>40</v>
      </c>
      <c r="O64" s="17">
        <v>406.82</v>
      </c>
    </row>
    <row r="65">
      <c r="K65" s="17" t="s">
        <v>30</v>
      </c>
      <c r="L65" s="17" t="s">
        <v>29</v>
      </c>
      <c r="M65" s="17" t="s">
        <v>308</v>
      </c>
      <c r="N65" s="17" t="s">
        <v>46</v>
      </c>
      <c r="O65" s="17">
        <v>71.72</v>
      </c>
    </row>
    <row r="66">
      <c r="K66" s="17" t="s">
        <v>30</v>
      </c>
      <c r="L66" s="17" t="s">
        <v>29</v>
      </c>
      <c r="M66" s="17" t="s">
        <v>265</v>
      </c>
      <c r="N66" s="17" t="s">
        <v>48</v>
      </c>
      <c r="O66" s="17">
        <v>206.67</v>
      </c>
    </row>
    <row r="67">
      <c r="K67" s="17" t="s">
        <v>260</v>
      </c>
      <c r="L67" s="17" t="s">
        <v>45</v>
      </c>
      <c r="M67" s="17" t="s">
        <v>294</v>
      </c>
      <c r="N67" s="17" t="s">
        <v>22</v>
      </c>
      <c r="O67" s="17">
        <v>62.41</v>
      </c>
    </row>
    <row r="68">
      <c r="K68" s="17" t="s">
        <v>260</v>
      </c>
      <c r="L68" s="17" t="s">
        <v>45</v>
      </c>
      <c r="M68" s="17" t="s">
        <v>309</v>
      </c>
      <c r="N68" s="17" t="s">
        <v>47</v>
      </c>
      <c r="O68" s="17">
        <v>103.54</v>
      </c>
    </row>
    <row r="69">
      <c r="K69" s="17" t="s">
        <v>260</v>
      </c>
      <c r="L69" s="17" t="s">
        <v>45</v>
      </c>
      <c r="M69" s="17" t="s">
        <v>304</v>
      </c>
      <c r="N69" s="17" t="s">
        <v>49</v>
      </c>
      <c r="O69" s="17">
        <v>80.4</v>
      </c>
    </row>
    <row r="70">
      <c r="K70" s="17" t="s">
        <v>77</v>
      </c>
      <c r="L70" s="17" t="s">
        <v>76</v>
      </c>
      <c r="M70" s="17" t="s">
        <v>74</v>
      </c>
      <c r="N70" s="17" t="s">
        <v>86</v>
      </c>
      <c r="O70" s="17">
        <v>151.0</v>
      </c>
    </row>
    <row r="71">
      <c r="K71" s="17" t="s">
        <v>77</v>
      </c>
      <c r="L71" s="17" t="s">
        <v>76</v>
      </c>
      <c r="M71" s="200" t="s">
        <v>302</v>
      </c>
      <c r="N71" s="17" t="s">
        <v>67</v>
      </c>
      <c r="O71" s="200">
        <v>352.4</v>
      </c>
    </row>
    <row r="72">
      <c r="K72" s="17" t="s">
        <v>81</v>
      </c>
      <c r="L72" s="17" t="s">
        <v>76</v>
      </c>
      <c r="M72" s="200" t="s">
        <v>310</v>
      </c>
      <c r="N72" s="17" t="s">
        <v>82</v>
      </c>
      <c r="O72" s="200">
        <v>321.0</v>
      </c>
    </row>
    <row r="73">
      <c r="K73" s="17" t="s">
        <v>81</v>
      </c>
      <c r="L73" s="17" t="s">
        <v>80</v>
      </c>
      <c r="M73" s="17" t="s">
        <v>72</v>
      </c>
      <c r="N73" s="17" t="s">
        <v>71</v>
      </c>
      <c r="O73" s="8">
        <v>212077.0</v>
      </c>
    </row>
    <row r="74">
      <c r="K74" s="17" t="s">
        <v>21</v>
      </c>
      <c r="L74" s="17" t="s">
        <v>26</v>
      </c>
      <c r="M74" s="17" t="s">
        <v>261</v>
      </c>
      <c r="N74" s="17" t="s">
        <v>34</v>
      </c>
      <c r="O74" s="17">
        <v>397.0</v>
      </c>
    </row>
    <row r="75">
      <c r="K75" s="17" t="s">
        <v>12</v>
      </c>
      <c r="L75" s="17" t="s">
        <v>23</v>
      </c>
      <c r="M75" s="17" t="s">
        <v>260</v>
      </c>
      <c r="N75" s="17" t="s">
        <v>45</v>
      </c>
      <c r="O75" s="17">
        <v>162.64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21.38"/>
    <col customWidth="1" min="6" max="6" width="17.88"/>
  </cols>
  <sheetData>
    <row r="1">
      <c r="A1" s="4" t="s">
        <v>400</v>
      </c>
      <c r="B1" s="4" t="s">
        <v>320</v>
      </c>
      <c r="C1" s="4" t="s">
        <v>314</v>
      </c>
      <c r="D1" s="4" t="s">
        <v>401</v>
      </c>
      <c r="E1" s="4" t="s">
        <v>402</v>
      </c>
      <c r="F1" s="4" t="s">
        <v>403</v>
      </c>
      <c r="G1" s="4" t="s">
        <v>404</v>
      </c>
      <c r="H1" s="4" t="s">
        <v>405</v>
      </c>
    </row>
    <row r="2">
      <c r="A2" s="4">
        <v>18.0</v>
      </c>
      <c r="B2" s="147" t="s">
        <v>11</v>
      </c>
      <c r="C2" s="149">
        <v>28496.0</v>
      </c>
      <c r="D2" s="201">
        <f t="shared" ref="D2:D28" si="1">C2/A2</f>
        <v>1583.111111</v>
      </c>
      <c r="E2" s="201">
        <f t="shared" ref="E2:E28" si="2">D2  * 2</f>
        <v>3166.222222</v>
      </c>
      <c r="F2" s="201">
        <f t="shared" ref="F2:F28" si="3">8*60</f>
        <v>480</v>
      </c>
      <c r="G2" s="201">
        <f t="shared" ref="G2:G28" si="4">ROUNDUP(E2/F2,0)</f>
        <v>7</v>
      </c>
      <c r="H2" s="201">
        <f>G2*'Biaya Driver'!F5</f>
        <v>26570762.61</v>
      </c>
      <c r="J2" s="4" t="s">
        <v>406</v>
      </c>
    </row>
    <row r="3">
      <c r="A3" s="4">
        <v>7.0</v>
      </c>
      <c r="B3" s="147" t="s">
        <v>17</v>
      </c>
      <c r="C3" s="149">
        <v>14736.0</v>
      </c>
      <c r="D3" s="201">
        <f t="shared" si="1"/>
        <v>2105.142857</v>
      </c>
      <c r="E3" s="201">
        <f t="shared" si="2"/>
        <v>4210.285714</v>
      </c>
      <c r="F3" s="201">
        <f t="shared" si="3"/>
        <v>480</v>
      </c>
      <c r="G3" s="201">
        <f t="shared" si="4"/>
        <v>9</v>
      </c>
      <c r="H3" s="201">
        <f>G3*'Biaya Driver'!F50</f>
        <v>32392532.25</v>
      </c>
    </row>
    <row r="4">
      <c r="A4" s="4">
        <v>24.0</v>
      </c>
      <c r="B4" s="145" t="s">
        <v>20</v>
      </c>
      <c r="C4" s="4">
        <v>37767.0</v>
      </c>
      <c r="D4" s="201">
        <f t="shared" si="1"/>
        <v>1573.625</v>
      </c>
      <c r="E4" s="201">
        <f t="shared" si="2"/>
        <v>3147.25</v>
      </c>
      <c r="F4" s="201">
        <f t="shared" si="3"/>
        <v>480</v>
      </c>
      <c r="G4" s="201">
        <f t="shared" si="4"/>
        <v>7</v>
      </c>
      <c r="H4" s="201">
        <f>G4*'Biaya Driver'!F6</f>
        <v>26570762.61</v>
      </c>
    </row>
    <row r="5">
      <c r="A5" s="4">
        <v>27.0</v>
      </c>
      <c r="B5" s="147" t="s">
        <v>23</v>
      </c>
      <c r="C5" s="4">
        <v>62670.0</v>
      </c>
      <c r="D5" s="201">
        <f t="shared" si="1"/>
        <v>2321.111111</v>
      </c>
      <c r="E5" s="201">
        <f t="shared" si="2"/>
        <v>4642.222222</v>
      </c>
      <c r="F5" s="201">
        <f t="shared" si="3"/>
        <v>480</v>
      </c>
      <c r="G5" s="201">
        <f t="shared" si="4"/>
        <v>10</v>
      </c>
      <c r="H5" s="201">
        <f>G5*'Biaya Driver'!F51</f>
        <v>42320239</v>
      </c>
    </row>
    <row r="6">
      <c r="A6" s="4">
        <v>11.0</v>
      </c>
      <c r="B6" s="147" t="s">
        <v>26</v>
      </c>
      <c r="C6" s="4">
        <v>25418.0</v>
      </c>
      <c r="D6" s="201">
        <f t="shared" si="1"/>
        <v>2310.727273</v>
      </c>
      <c r="E6" s="201">
        <f t="shared" si="2"/>
        <v>4621.454545</v>
      </c>
      <c r="F6" s="201">
        <f t="shared" si="3"/>
        <v>480</v>
      </c>
      <c r="G6" s="201">
        <f t="shared" si="4"/>
        <v>10</v>
      </c>
      <c r="H6" s="201">
        <f>G6*'Biaya Driver'!F52</f>
        <v>43904445</v>
      </c>
    </row>
    <row r="7">
      <c r="A7" s="4">
        <v>10.0</v>
      </c>
      <c r="B7" s="147" t="s">
        <v>29</v>
      </c>
      <c r="C7" s="4">
        <v>23275.0</v>
      </c>
      <c r="D7" s="201">
        <f t="shared" si="1"/>
        <v>2327.5</v>
      </c>
      <c r="E7" s="201">
        <f t="shared" si="2"/>
        <v>4655</v>
      </c>
      <c r="F7" s="201">
        <f t="shared" si="3"/>
        <v>480</v>
      </c>
      <c r="G7" s="201">
        <f t="shared" si="4"/>
        <v>10</v>
      </c>
      <c r="H7" s="201">
        <f>G7*'Biaya Driver'!F53</f>
        <v>34754076.8</v>
      </c>
    </row>
    <row r="8">
      <c r="A8" s="4">
        <v>9.0</v>
      </c>
      <c r="B8" s="147" t="s">
        <v>58</v>
      </c>
      <c r="C8" s="4">
        <v>21193.0</v>
      </c>
      <c r="D8" s="201">
        <f t="shared" si="1"/>
        <v>2354.777778</v>
      </c>
      <c r="E8" s="201">
        <f t="shared" si="2"/>
        <v>4709.555556</v>
      </c>
      <c r="F8" s="201">
        <f t="shared" si="3"/>
        <v>480</v>
      </c>
      <c r="G8" s="201">
        <f t="shared" si="4"/>
        <v>10</v>
      </c>
      <c r="H8" s="201">
        <f>G8*'Biaya Driver'!F21</f>
        <v>35070710</v>
      </c>
    </row>
    <row r="9">
      <c r="A9" s="4">
        <v>20.0</v>
      </c>
      <c r="B9" s="147" t="s">
        <v>59</v>
      </c>
      <c r="C9" s="4">
        <v>47169.0</v>
      </c>
      <c r="D9" s="201">
        <f t="shared" si="1"/>
        <v>2358.45</v>
      </c>
      <c r="E9" s="201">
        <f t="shared" si="2"/>
        <v>4716.9</v>
      </c>
      <c r="F9" s="201">
        <f t="shared" si="3"/>
        <v>480</v>
      </c>
      <c r="G9" s="201">
        <f t="shared" si="4"/>
        <v>10</v>
      </c>
      <c r="H9" s="201">
        <f>G9*'Biaya Driver'!F22</f>
        <v>32154437</v>
      </c>
    </row>
    <row r="10">
      <c r="A10" s="4">
        <v>3.0</v>
      </c>
      <c r="B10" s="147" t="s">
        <v>62</v>
      </c>
      <c r="C10" s="4">
        <v>2879.0</v>
      </c>
      <c r="D10" s="201">
        <f t="shared" si="1"/>
        <v>959.6666667</v>
      </c>
      <c r="E10" s="201">
        <f t="shared" si="2"/>
        <v>1919.333333</v>
      </c>
      <c r="F10" s="201">
        <f t="shared" si="3"/>
        <v>480</v>
      </c>
      <c r="G10" s="201">
        <f t="shared" si="4"/>
        <v>4</v>
      </c>
      <c r="H10" s="201">
        <f>G10*'Biaya Driver'!F23</f>
        <v>15319056.92</v>
      </c>
    </row>
    <row r="11">
      <c r="A11" s="4">
        <v>3.0</v>
      </c>
      <c r="B11" s="147" t="s">
        <v>63</v>
      </c>
      <c r="C11" s="4">
        <v>3340.0</v>
      </c>
      <c r="D11" s="201">
        <f t="shared" si="1"/>
        <v>1113.333333</v>
      </c>
      <c r="E11" s="201">
        <f t="shared" si="2"/>
        <v>2226.666667</v>
      </c>
      <c r="F11" s="201">
        <f t="shared" si="3"/>
        <v>480</v>
      </c>
      <c r="G11" s="201">
        <f t="shared" si="4"/>
        <v>5</v>
      </c>
      <c r="H11" s="201">
        <f>G11*'Biaya Driver'!F24</f>
        <v>16077218.5</v>
      </c>
    </row>
    <row r="12">
      <c r="A12" s="4">
        <v>4.0</v>
      </c>
      <c r="B12" s="147" t="s">
        <v>69</v>
      </c>
      <c r="C12" s="4">
        <v>9255.0</v>
      </c>
      <c r="D12" s="201">
        <f t="shared" si="1"/>
        <v>2313.75</v>
      </c>
      <c r="E12" s="201">
        <f t="shared" si="2"/>
        <v>4627.5</v>
      </c>
      <c r="F12" s="201">
        <f t="shared" si="3"/>
        <v>480</v>
      </c>
      <c r="G12" s="201">
        <f t="shared" si="4"/>
        <v>10</v>
      </c>
      <c r="H12" s="201">
        <f>G12*'Biaya Driver'!F25</f>
        <v>32322030</v>
      </c>
    </row>
    <row r="13">
      <c r="A13" s="4">
        <v>8.0</v>
      </c>
      <c r="B13" s="147" t="s">
        <v>76</v>
      </c>
      <c r="C13" s="4">
        <v>18499.0</v>
      </c>
      <c r="D13" s="201">
        <f t="shared" si="1"/>
        <v>2312.375</v>
      </c>
      <c r="E13" s="201">
        <f t="shared" si="2"/>
        <v>4624.75</v>
      </c>
      <c r="F13" s="201">
        <f t="shared" si="3"/>
        <v>480</v>
      </c>
      <c r="G13" s="201">
        <f t="shared" si="4"/>
        <v>10</v>
      </c>
      <c r="H13" s="201">
        <f>G13*'Biaya Driver'!F26</f>
        <v>32154437</v>
      </c>
    </row>
    <row r="14">
      <c r="A14" s="4">
        <v>10.0</v>
      </c>
      <c r="B14" s="147" t="s">
        <v>78</v>
      </c>
      <c r="C14" s="4">
        <v>11295.0</v>
      </c>
      <c r="D14" s="201">
        <f t="shared" si="1"/>
        <v>1129.5</v>
      </c>
      <c r="E14" s="201">
        <f t="shared" si="2"/>
        <v>2259</v>
      </c>
      <c r="F14" s="201">
        <f t="shared" si="3"/>
        <v>480</v>
      </c>
      <c r="G14" s="201">
        <f t="shared" si="4"/>
        <v>5</v>
      </c>
      <c r="H14" s="201">
        <f>G14*'Biaya Driver'!F27</f>
        <v>17776635</v>
      </c>
    </row>
    <row r="15">
      <c r="A15" s="4">
        <v>5.0</v>
      </c>
      <c r="B15" s="147" t="s">
        <v>80</v>
      </c>
      <c r="C15" s="4">
        <v>10601.0</v>
      </c>
      <c r="D15" s="201">
        <f t="shared" si="1"/>
        <v>2120.2</v>
      </c>
      <c r="E15" s="201">
        <f t="shared" si="2"/>
        <v>4240.4</v>
      </c>
      <c r="F15" s="201">
        <f t="shared" si="3"/>
        <v>480</v>
      </c>
      <c r="G15" s="201">
        <f t="shared" si="4"/>
        <v>9</v>
      </c>
      <c r="H15" s="201">
        <f>G15*'Biaya Driver'!F28</f>
        <v>29154897</v>
      </c>
    </row>
    <row r="16">
      <c r="A16" s="4">
        <v>6.0</v>
      </c>
      <c r="B16" s="145" t="s">
        <v>83</v>
      </c>
      <c r="C16" s="4">
        <v>12523.0</v>
      </c>
      <c r="D16" s="201">
        <f t="shared" si="1"/>
        <v>2087.166667</v>
      </c>
      <c r="E16" s="201">
        <f t="shared" si="2"/>
        <v>4174.333333</v>
      </c>
      <c r="F16" s="201">
        <f t="shared" si="3"/>
        <v>480</v>
      </c>
      <c r="G16" s="201">
        <f t="shared" si="4"/>
        <v>9</v>
      </c>
      <c r="H16" s="201">
        <f>G16*'Biaya Driver'!F29</f>
        <v>38627739</v>
      </c>
    </row>
    <row r="17">
      <c r="A17" s="4">
        <v>14.0</v>
      </c>
      <c r="B17" s="145" t="s">
        <v>25</v>
      </c>
      <c r="C17" s="8">
        <v>2724.0</v>
      </c>
      <c r="D17" s="201">
        <f t="shared" si="1"/>
        <v>194.5714286</v>
      </c>
      <c r="E17" s="201">
        <f t="shared" si="2"/>
        <v>389.1428571</v>
      </c>
      <c r="F17" s="201">
        <f t="shared" si="3"/>
        <v>480</v>
      </c>
      <c r="G17" s="201">
        <f t="shared" si="4"/>
        <v>1</v>
      </c>
      <c r="H17" s="201">
        <f>G17*'Biaya Driver'!G54</f>
        <v>47333333.33</v>
      </c>
    </row>
    <row r="18">
      <c r="A18" s="4">
        <v>29.0</v>
      </c>
      <c r="B18" s="145" t="s">
        <v>88</v>
      </c>
      <c r="C18" s="8">
        <v>5783.0</v>
      </c>
      <c r="D18" s="201">
        <f t="shared" si="1"/>
        <v>199.4137931</v>
      </c>
      <c r="E18" s="201">
        <f t="shared" si="2"/>
        <v>398.8275862</v>
      </c>
      <c r="F18" s="201">
        <f t="shared" si="3"/>
        <v>480</v>
      </c>
      <c r="G18" s="201">
        <f t="shared" si="4"/>
        <v>1</v>
      </c>
      <c r="H18" s="201">
        <f>G18*'Biaya Driver'!F7</f>
        <v>3795823.23</v>
      </c>
    </row>
    <row r="19">
      <c r="A19" s="4">
        <v>15.0</v>
      </c>
      <c r="B19" s="145" t="s">
        <v>32</v>
      </c>
      <c r="C19" s="8">
        <v>2871.0</v>
      </c>
      <c r="D19" s="201">
        <f t="shared" si="1"/>
        <v>191.4</v>
      </c>
      <c r="E19" s="201">
        <f t="shared" si="2"/>
        <v>382.8</v>
      </c>
      <c r="F19" s="201">
        <f t="shared" si="3"/>
        <v>480</v>
      </c>
      <c r="G19" s="201">
        <f t="shared" si="4"/>
        <v>1</v>
      </c>
      <c r="H19" s="201">
        <f>G19*'Biaya Driver'!F55</f>
        <v>4115638.8</v>
      </c>
    </row>
    <row r="20">
      <c r="A20" s="4">
        <v>41.0</v>
      </c>
      <c r="B20" s="145" t="s">
        <v>34</v>
      </c>
      <c r="C20" s="4">
        <v>10689.0</v>
      </c>
      <c r="D20" s="201">
        <f t="shared" si="1"/>
        <v>260.7073171</v>
      </c>
      <c r="E20" s="201">
        <f t="shared" si="2"/>
        <v>521.4146341</v>
      </c>
      <c r="F20" s="201">
        <f t="shared" si="3"/>
        <v>480</v>
      </c>
      <c r="G20" s="201">
        <f t="shared" si="4"/>
        <v>2</v>
      </c>
      <c r="H20" s="201">
        <f>G20*'Biaya Driver'!F56</f>
        <v>7250947.6</v>
      </c>
    </row>
    <row r="21">
      <c r="A21" s="4">
        <v>43.0</v>
      </c>
      <c r="B21" s="145" t="s">
        <v>89</v>
      </c>
      <c r="C21" s="8">
        <v>8540.0</v>
      </c>
      <c r="D21" s="201">
        <f t="shared" si="1"/>
        <v>198.6046512</v>
      </c>
      <c r="E21" s="201">
        <f t="shared" si="2"/>
        <v>397.2093023</v>
      </c>
      <c r="F21" s="201">
        <f t="shared" si="3"/>
        <v>480</v>
      </c>
      <c r="G21" s="201">
        <f t="shared" si="4"/>
        <v>1</v>
      </c>
      <c r="H21" s="201">
        <f>G21*'Biaya Driver'!F8</f>
        <v>3795823.23</v>
      </c>
    </row>
    <row r="22">
      <c r="A22" s="4">
        <v>49.0</v>
      </c>
      <c r="B22" s="145" t="s">
        <v>39</v>
      </c>
      <c r="C22" s="8">
        <v>9643.0</v>
      </c>
      <c r="D22" s="201">
        <f t="shared" si="1"/>
        <v>196.7959184</v>
      </c>
      <c r="E22" s="201">
        <f t="shared" si="2"/>
        <v>393.5918367</v>
      </c>
      <c r="F22" s="201">
        <f t="shared" si="3"/>
        <v>480</v>
      </c>
      <c r="G22" s="201">
        <f t="shared" si="4"/>
        <v>1</v>
      </c>
      <c r="H22" s="201">
        <f>G22*'Biaya Driver'!F57</f>
        <v>3795823.23</v>
      </c>
    </row>
    <row r="23">
      <c r="A23" s="4">
        <v>15.0</v>
      </c>
      <c r="B23" s="145" t="s">
        <v>40</v>
      </c>
      <c r="C23" s="8">
        <v>2902.0</v>
      </c>
      <c r="D23" s="201">
        <f t="shared" si="1"/>
        <v>193.4666667</v>
      </c>
      <c r="E23" s="201">
        <f t="shared" si="2"/>
        <v>386.9333333</v>
      </c>
      <c r="F23" s="201">
        <f t="shared" si="3"/>
        <v>480</v>
      </c>
      <c r="G23" s="201">
        <f t="shared" si="4"/>
        <v>1</v>
      </c>
      <c r="H23" s="201">
        <f>G23*'Biaya Driver'!F58</f>
        <v>3512145.95</v>
      </c>
    </row>
    <row r="24">
      <c r="A24" s="4">
        <v>14.0</v>
      </c>
      <c r="B24" s="145" t="s">
        <v>90</v>
      </c>
      <c r="C24" s="8">
        <v>2709.0</v>
      </c>
      <c r="D24" s="201">
        <f t="shared" si="1"/>
        <v>193.5</v>
      </c>
      <c r="E24" s="201">
        <f t="shared" si="2"/>
        <v>387</v>
      </c>
      <c r="F24" s="201">
        <f t="shared" si="3"/>
        <v>480</v>
      </c>
      <c r="G24" s="201">
        <f t="shared" si="4"/>
        <v>1</v>
      </c>
      <c r="H24" s="201">
        <f>G24*'Biaya Driver'!F9</f>
        <v>3795823.23</v>
      </c>
    </row>
    <row r="25">
      <c r="A25" s="4">
        <v>17.0</v>
      </c>
      <c r="B25" s="145" t="s">
        <v>43</v>
      </c>
      <c r="C25" s="4">
        <v>13393.0</v>
      </c>
      <c r="D25" s="201">
        <f t="shared" si="1"/>
        <v>787.8235294</v>
      </c>
      <c r="E25" s="201">
        <f t="shared" si="2"/>
        <v>1575.647059</v>
      </c>
      <c r="F25" s="201">
        <f t="shared" si="3"/>
        <v>480</v>
      </c>
      <c r="G25" s="201">
        <f t="shared" si="4"/>
        <v>4</v>
      </c>
      <c r="H25" s="201">
        <f>G25*'Biaya Driver'!F59</f>
        <v>16462555.2</v>
      </c>
    </row>
    <row r="26">
      <c r="A26" s="4">
        <v>19.0</v>
      </c>
      <c r="B26" s="145" t="s">
        <v>45</v>
      </c>
      <c r="C26" s="4">
        <v>13252.0</v>
      </c>
      <c r="D26" s="201">
        <f t="shared" si="1"/>
        <v>697.4736842</v>
      </c>
      <c r="E26" s="201">
        <f t="shared" si="2"/>
        <v>1394.947368</v>
      </c>
      <c r="F26" s="201">
        <f t="shared" si="3"/>
        <v>480</v>
      </c>
      <c r="G26" s="201">
        <f t="shared" si="4"/>
        <v>3</v>
      </c>
      <c r="H26" s="201">
        <f>G26*'Biaya Driver'!F60</f>
        <v>12346916.4</v>
      </c>
    </row>
    <row r="27">
      <c r="A27" s="4">
        <v>11.0</v>
      </c>
      <c r="B27" s="145" t="s">
        <v>48</v>
      </c>
      <c r="C27" s="8">
        <v>2016.0</v>
      </c>
      <c r="D27" s="201">
        <f t="shared" si="1"/>
        <v>183.2727273</v>
      </c>
      <c r="E27" s="201">
        <f t="shared" si="2"/>
        <v>366.5454545</v>
      </c>
      <c r="F27" s="201">
        <f t="shared" si="3"/>
        <v>480</v>
      </c>
      <c r="G27" s="201">
        <f t="shared" si="4"/>
        <v>1</v>
      </c>
      <c r="H27" s="201">
        <f>G27*'Biaya Driver'!F61</f>
        <v>3254854.2</v>
      </c>
    </row>
    <row r="28">
      <c r="A28" s="4">
        <v>15.0</v>
      </c>
      <c r="B28" s="145" t="s">
        <v>91</v>
      </c>
      <c r="C28" s="8">
        <v>3519.0</v>
      </c>
      <c r="D28" s="201">
        <f t="shared" si="1"/>
        <v>234.6</v>
      </c>
      <c r="E28" s="201">
        <f t="shared" si="2"/>
        <v>469.2</v>
      </c>
      <c r="F28" s="201">
        <f t="shared" si="3"/>
        <v>480</v>
      </c>
      <c r="G28" s="201">
        <f t="shared" si="4"/>
        <v>1</v>
      </c>
      <c r="H28" s="201">
        <f>G28*'Biaya Driver'!F10</f>
        <v>3795823.23</v>
      </c>
    </row>
    <row r="29">
      <c r="B29" s="202"/>
      <c r="C29" s="203"/>
      <c r="D29" s="201"/>
      <c r="E29" s="201"/>
      <c r="F29" s="201"/>
      <c r="G29" s="201">
        <f t="shared" ref="G29:H29" si="5">SUM(G2:G28)</f>
        <v>143</v>
      </c>
      <c r="H29" s="201">
        <f t="shared" si="5"/>
        <v>568425486.3</v>
      </c>
    </row>
    <row r="30">
      <c r="C30" s="146"/>
    </row>
    <row r="31">
      <c r="C31" s="146"/>
    </row>
    <row r="32">
      <c r="C32" s="204"/>
    </row>
    <row r="33">
      <c r="C33" s="205"/>
    </row>
    <row r="37">
      <c r="C37" s="4"/>
    </row>
    <row r="40">
      <c r="C40" s="4"/>
    </row>
    <row r="42">
      <c r="C42" s="4"/>
    </row>
    <row r="45">
      <c r="C45" s="4"/>
    </row>
    <row r="46">
      <c r="C46" s="4"/>
    </row>
    <row r="47">
      <c r="C47" s="8"/>
    </row>
    <row r="48">
      <c r="C48" s="8"/>
    </row>
    <row r="49">
      <c r="C49" s="8"/>
    </row>
    <row r="51">
      <c r="C51" s="8"/>
    </row>
    <row r="52">
      <c r="C52" s="8"/>
    </row>
    <row r="53">
      <c r="C53" s="8"/>
    </row>
    <row r="54">
      <c r="C54" s="8"/>
    </row>
    <row r="57">
      <c r="C57" s="8"/>
    </row>
    <row r="58">
      <c r="C58" s="8"/>
    </row>
  </sheetData>
  <conditionalFormatting sqref="C1:C33 J1:J3 J16:J24 J26:J28 C47:C49 C51:C54 C57:C58">
    <cfRule type="expression" dxfId="4" priority="1">
      <formula>ROUNDUP</formula>
    </cfRule>
  </conditionalFormatting>
  <drawing r:id="rId1"/>
  <tableParts count="1">
    <tablePart r:id="rId3"/>
  </tableParts>
</worksheet>
</file>